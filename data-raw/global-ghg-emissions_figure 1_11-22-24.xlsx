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K:\PROJECTS\EPA\Climate_Indicators.Lamie.LEX\INDICATORS\Global GHG Emissions\data\"/>
    </mc:Choice>
  </mc:AlternateContent>
  <xr:revisionPtr revIDLastSave="0" documentId="13_ncr:1_{FE3D0DA4-D92F-41F0-947D-CEF5D0C11A23}" xr6:coauthVersionLast="47" xr6:coauthVersionMax="47" xr10:uidLastSave="{00000000-0000-0000-0000-000000000000}"/>
  <bookViews>
    <workbookView xWindow="-108" yWindow="-108" windowWidth="23256" windowHeight="12456" activeTab="3" xr2:uid="{00000000-000D-0000-FFFF-FFFF00000000}"/>
  </bookViews>
  <sheets>
    <sheet name="Figure 1" sheetId="5" r:id="rId1"/>
    <sheet name="Data for Figure" sheetId="1" r:id="rId2"/>
    <sheet name="Original Data-Climate Watch" sheetId="7" r:id="rId3"/>
    <sheet name="Methods and Notes"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 l="1"/>
  <c r="E12" i="1"/>
  <c r="D5" i="1"/>
  <c r="F4" i="1"/>
  <c r="E4" i="1"/>
  <c r="D4" i="1"/>
  <c r="G9" i="1"/>
  <c r="F9" i="1"/>
  <c r="F12" i="1" s="1"/>
  <c r="E9" i="1"/>
  <c r="D9" i="1"/>
  <c r="D12" i="1" s="1"/>
  <c r="G8" i="1"/>
  <c r="F8" i="1"/>
  <c r="E8" i="1"/>
  <c r="D8" i="1"/>
  <c r="G7" i="1"/>
  <c r="F7" i="1"/>
  <c r="E7" i="1"/>
  <c r="D7" i="1"/>
  <c r="G6" i="1"/>
  <c r="F6" i="1"/>
  <c r="E6" i="1"/>
  <c r="D6" i="1"/>
  <c r="G5" i="1"/>
  <c r="F5" i="1"/>
  <c r="E5" i="1"/>
  <c r="C4" i="1" l="1"/>
  <c r="N4" i="1" s="1"/>
  <c r="G12" i="1"/>
  <c r="C5" i="1"/>
  <c r="R5" i="1" s="1"/>
  <c r="O9" i="1"/>
  <c r="R9" i="1"/>
  <c r="O5" i="1"/>
  <c r="O4" i="1"/>
  <c r="C9" i="1"/>
  <c r="Q5" i="1" l="1"/>
  <c r="P5" i="1"/>
  <c r="Q9" i="1"/>
  <c r="C12" i="1"/>
  <c r="P9" i="1"/>
  <c r="T9" i="1"/>
  <c r="N9" i="1"/>
  <c r="C6" i="1"/>
  <c r="C7" i="1"/>
  <c r="C8" i="1"/>
  <c r="O7" i="1" l="1"/>
  <c r="P7" i="1"/>
  <c r="Q7" i="1"/>
  <c r="R7" i="1"/>
  <c r="O8" i="1"/>
  <c r="P8" i="1"/>
  <c r="Q8" i="1"/>
  <c r="R8" i="1"/>
  <c r="O6" i="1"/>
  <c r="R6" i="1"/>
  <c r="P6" i="1"/>
  <c r="Q6" i="1"/>
  <c r="R4" i="1"/>
  <c r="T7" i="1"/>
  <c r="N7" i="1"/>
  <c r="T8" i="1"/>
  <c r="N8" i="1"/>
  <c r="T5" i="1"/>
  <c r="N5" i="1"/>
  <c r="T6" i="1"/>
  <c r="N6" i="1"/>
  <c r="Q4" i="1"/>
  <c r="P4" i="1"/>
  <c r="T4" i="1"/>
</calcChain>
</file>

<file path=xl/sharedStrings.xml><?xml version="1.0" encoding="utf-8"?>
<sst xmlns="http://schemas.openxmlformats.org/spreadsheetml/2006/main" count="67" uniqueCount="54">
  <si>
    <t>Total</t>
  </si>
  <si>
    <t>World</t>
  </si>
  <si>
    <t>Data for Figure</t>
  </si>
  <si>
    <t>Carbon dioxide</t>
  </si>
  <si>
    <t>Methane</t>
  </si>
  <si>
    <t>Nitrous oxide</t>
  </si>
  <si>
    <t>Methods and Notes</t>
  </si>
  <si>
    <t>Check</t>
  </si>
  <si>
    <t>OBTAIN DATA</t>
  </si>
  <si>
    <t>GENERAL NOTES</t>
  </si>
  <si>
    <t>Unit:</t>
  </si>
  <si>
    <t>MtCO2e</t>
  </si>
  <si>
    <t>Year</t>
  </si>
  <si>
    <t xml:space="preserve">Total </t>
  </si>
  <si>
    <r>
      <t>HFCs, PFCs, and SF</t>
    </r>
    <r>
      <rPr>
        <vertAlign val="subscript"/>
        <sz val="10"/>
        <rFont val="Arial"/>
        <family val="2"/>
      </rPr>
      <t>6</t>
    </r>
  </si>
  <si>
    <t>EPA Calculations</t>
  </si>
  <si>
    <t>PROCESSING STEPS</t>
  </si>
  <si>
    <t>WORKSHEETS</t>
  </si>
  <si>
    <t>EPA Calculation</t>
  </si>
  <si>
    <t>HFCs, PFCs, and SF6*</t>
  </si>
  <si>
    <t>Figure 1</t>
  </si>
  <si>
    <t>Contains data used to develop Figure 1</t>
  </si>
  <si>
    <t>Contains notes on how Figure 1 was developed</t>
  </si>
  <si>
    <t>3) Copy green highlighted data into "Data for Figure" worksheet.</t>
  </si>
  <si>
    <t>(includes land use change; includes international bunkers)</t>
  </si>
  <si>
    <t>- Chart Type: Line Chart</t>
  </si>
  <si>
    <t>- Countries/Regions: World</t>
  </si>
  <si>
    <t>- Calculations: Total</t>
  </si>
  <si>
    <t>- Show Data by: Gases</t>
  </si>
  <si>
    <t>Gas</t>
  </si>
  <si>
    <t>unit</t>
  </si>
  <si>
    <t>CH4</t>
  </si>
  <si>
    <t>CO2</t>
  </si>
  <si>
    <t>F-Gas</t>
  </si>
  <si>
    <t>N2O</t>
  </si>
  <si>
    <t>Data source</t>
  </si>
  <si>
    <t>Shows the figure for use in Indicators report</t>
  </si>
  <si>
    <t>ERG downloaded the data from Climate Watch, "Historical GHG Emissions" (https://www.climatewatchdata.org/ghg-emissions). We used the following settings:</t>
  </si>
  <si>
    <t>- Sectors/Subsectors: TOTAL EMISSION, Total including LUCF</t>
  </si>
  <si>
    <t>- Gases: All GHG</t>
  </si>
  <si>
    <t>- Data Source: Climate Watch</t>
  </si>
  <si>
    <t>1) Access data according to "Obtain Data" instructions above, and copy into "Original Data-Climate Watch" worksheet.</t>
  </si>
  <si>
    <t>- Climate Watch Non-CO2 data come from EPA and are reported in 5-year intervals. Some countries have data annually, but per confirmation from EPA, we should only use 5-year interval data. Because Non-CO2 data is not an annual time series data set, Figure 1 is plotted on 5-year intervals (Climate Watch CO2 data predominately comes from IEA which is an annual time series; Climate Watch LUCF data comes from FAOSTAT which is also an annual time series. Agriculture emissions (CH4 and N2O) data are also sourced from FAOSTAT.</t>
  </si>
  <si>
    <t>Data from WRI/Climate Watch</t>
  </si>
  <si>
    <t>Original Data-Climate Watch</t>
  </si>
  <si>
    <t>Climate Watch</t>
  </si>
  <si>
    <t>Data needed for chart needs to include LUCF and bunker fuel emissions (Climate Watch says that bunker fuel emissions are included in transportation (and thus Energy) sector only for World, so bunker fuels should not be included in Sectors/Subsectors drop down when obtaining data).</t>
  </si>
  <si>
    <t>% change, '90-'15</t>
  </si>
  <si>
    <t>2) Highlight in green data for the years 1990, 1995, 2000, 2005, 2010, and 2015 to indicate data for use in figure.</t>
  </si>
  <si>
    <t>4) We created a stacked column graph for years 1990-2015 in 5-year intervals.</t>
  </si>
  <si>
    <t>Copy of full "World" data from 1990-2015 from Climate Watch "Historical GHG Emissions" page.</t>
  </si>
  <si>
    <t>Data last obtained by ERG on November 22, 2024.</t>
  </si>
  <si>
    <t>2016-2021 data is projected data because the Non-CO2 portion is projected.</t>
  </si>
  <si>
    <t>Climate Watch data methods: https://files.wri.org/d8/s3fs-public/2024-05/climate-watch-country-greenhouse-gas-emissions-data-methodology.pdf?VersionId=1geU96keSmqZlUjv41FNGB4CLpHQbruN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</si>
</sst>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000"/>
  </numFmts>
  <fonts count="23" x14ac:knownFonts="1">
    <font>
      <sz val="10"/>
      <name val="Arial"/>
    </font>
    <font>
      <sz val="11"/>
      <color theme="1"/>
      <name val="Calibri"/>
      <family val="2"/>
      <scheme val="minor"/>
    </font>
    <font>
      <sz val="8"/>
      <name val="Arial"/>
      <family val="2"/>
    </font>
    <font>
      <b/>
      <sz val="10"/>
      <name val="Arial"/>
      <family val="2"/>
    </font>
    <font>
      <vertAlign val="subscript"/>
      <sz val="10"/>
      <name val="Arial"/>
      <family val="2"/>
    </font>
    <font>
      <sz val="10"/>
      <name val="Arial"/>
      <family val="2"/>
    </font>
    <font>
      <i/>
      <sz val="10"/>
      <name val="Arial"/>
      <family val="2"/>
    </font>
    <font>
      <sz val="10"/>
      <name val="Arial"/>
      <family val="2"/>
    </font>
    <font>
      <b/>
      <sz val="11"/>
      <color theme="0"/>
      <name val="Calibri"/>
      <family val="2"/>
      <scheme val="minor"/>
    </font>
    <font>
      <b/>
      <sz val="8"/>
      <color theme="1"/>
      <name val="Calibri"/>
      <family val="2"/>
      <scheme val="minor"/>
    </font>
    <font>
      <sz val="8"/>
      <color theme="1"/>
      <name val="Calibri"/>
      <family val="2"/>
      <scheme val="minor"/>
    </font>
    <font>
      <b/>
      <sz val="8"/>
      <name val="Calibri"/>
      <family val="2"/>
      <scheme val="minor"/>
    </font>
    <font>
      <sz val="8"/>
      <name val="Calibri"/>
      <family val="2"/>
      <scheme val="minor"/>
    </font>
    <font>
      <b/>
      <sz val="14"/>
      <color theme="1"/>
      <name val="Calibri"/>
      <family val="2"/>
      <scheme val="minor"/>
    </font>
    <font>
      <sz val="11"/>
      <name val="Calibri"/>
      <family val="2"/>
      <scheme val="minor"/>
    </font>
    <font>
      <b/>
      <sz val="11"/>
      <name val="Calibri"/>
      <family val="2"/>
      <scheme val="minor"/>
    </font>
    <font>
      <sz val="10"/>
      <color theme="1"/>
      <name val="Candara"/>
      <family val="2"/>
    </font>
    <font>
      <sz val="10"/>
      <color indexed="8"/>
      <name val="Arial"/>
      <family val="2"/>
    </font>
    <font>
      <sz val="10"/>
      <color theme="1"/>
      <name val="Arial"/>
      <family val="2"/>
    </font>
    <font>
      <u/>
      <sz val="10"/>
      <color theme="10"/>
      <name val="Arial"/>
      <family val="2"/>
    </font>
    <font>
      <sz val="11"/>
      <name val="Calibri"/>
      <family val="2"/>
    </font>
    <font>
      <sz val="18"/>
      <name val="Arial"/>
      <family val="2"/>
    </font>
    <font>
      <sz val="16"/>
      <name val="Arial"/>
      <family val="2"/>
    </font>
  </fonts>
  <fills count="7">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6"/>
        <bgColor indexed="64"/>
      </patternFill>
    </fill>
    <fill>
      <patternFill patternType="solid">
        <fgColor rgb="FFFFFF00"/>
        <bgColor indexed="64"/>
      </patternFill>
    </fill>
  </fills>
  <borders count="1">
    <border>
      <left/>
      <right/>
      <top/>
      <bottom/>
      <diagonal/>
    </border>
  </borders>
  <cellStyleXfs count="15">
    <xf numFmtId="0" fontId="0" fillId="0" borderId="0"/>
    <xf numFmtId="43" fontId="7" fillId="0" borderId="0" applyFont="0" applyFill="0" applyBorder="0" applyAlignment="0" applyProtection="0"/>
    <xf numFmtId="0" fontId="16" fillId="0" borderId="0"/>
    <xf numFmtId="0" fontId="5" fillId="0" borderId="0"/>
    <xf numFmtId="0" fontId="1" fillId="0" borderId="0"/>
    <xf numFmtId="0" fontId="5" fillId="0" borderId="0"/>
    <xf numFmtId="43" fontId="5" fillId="0" borderId="0" applyFont="0" applyFill="0" applyBorder="0" applyAlignment="0" applyProtection="0"/>
    <xf numFmtId="0" fontId="18" fillId="0" borderId="0"/>
    <xf numFmtId="0" fontId="5" fillId="0" borderId="0"/>
    <xf numFmtId="9" fontId="5" fillId="0" borderId="0" applyFont="0" applyFill="0" applyBorder="0" applyAlignment="0" applyProtection="0"/>
    <xf numFmtId="0" fontId="5"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43" fontId="1" fillId="0" borderId="0" applyFont="0" applyFill="0" applyBorder="0" applyAlignment="0" applyProtection="0"/>
    <xf numFmtId="9" fontId="7" fillId="0" borderId="0" applyFont="0" applyFill="0" applyBorder="0" applyAlignment="0" applyProtection="0"/>
  </cellStyleXfs>
  <cellXfs count="37">
    <xf numFmtId="0" fontId="0" fillId="0" borderId="0" xfId="0"/>
    <xf numFmtId="4" fontId="0" fillId="0" borderId="0" xfId="0" applyNumberFormat="1"/>
    <xf numFmtId="0" fontId="6" fillId="0" borderId="0" xfId="0" applyFont="1"/>
    <xf numFmtId="164" fontId="0" fillId="0" borderId="0" xfId="0" applyNumberFormat="1"/>
    <xf numFmtId="0" fontId="5" fillId="0" borderId="0" xfId="0" applyFont="1"/>
    <xf numFmtId="0" fontId="9" fillId="0" borderId="0" xfId="0" applyFont="1" applyAlignment="1">
      <alignment horizontal="left"/>
    </xf>
    <xf numFmtId="0" fontId="0" fillId="0" borderId="0" xfId="0" applyAlignment="1">
      <alignment wrapText="1"/>
    </xf>
    <xf numFmtId="0" fontId="9" fillId="0" borderId="0" xfId="0" applyFont="1" applyAlignment="1">
      <alignment horizontal="left" wrapText="1"/>
    </xf>
    <xf numFmtId="166" fontId="9" fillId="0" borderId="0" xfId="0" applyNumberFormat="1" applyFont="1" applyAlignment="1">
      <alignment horizontal="left" wrapText="1"/>
    </xf>
    <xf numFmtId="166" fontId="11" fillId="0" borderId="0" xfId="0" applyNumberFormat="1" applyFont="1" applyAlignment="1">
      <alignment horizontal="left" wrapText="1"/>
    </xf>
    <xf numFmtId="0" fontId="10" fillId="0" borderId="0" xfId="0" applyFont="1"/>
    <xf numFmtId="0" fontId="10" fillId="0" borderId="0" xfId="0" applyFont="1" applyAlignment="1">
      <alignment horizontal="center"/>
    </xf>
    <xf numFmtId="43" fontId="10" fillId="0" borderId="0" xfId="1" applyFont="1" applyAlignment="1">
      <alignment horizontal="center"/>
    </xf>
    <xf numFmtId="165" fontId="10" fillId="0" borderId="0" xfId="1" applyNumberFormat="1" applyFont="1"/>
    <xf numFmtId="165" fontId="12" fillId="0" borderId="0" xfId="1" applyNumberFormat="1" applyFont="1"/>
    <xf numFmtId="0" fontId="13" fillId="0" borderId="0" xfId="0" applyFont="1"/>
    <xf numFmtId="0" fontId="8" fillId="4" borderId="0" xfId="0" applyFont="1" applyFill="1"/>
    <xf numFmtId="0" fontId="14" fillId="0" borderId="0" xfId="0" applyFont="1"/>
    <xf numFmtId="0" fontId="15" fillId="0" borderId="0" xfId="0" applyFont="1" applyAlignment="1">
      <alignment horizontal="left" vertical="top"/>
    </xf>
    <xf numFmtId="165" fontId="5" fillId="0" borderId="0" xfId="8" applyNumberFormat="1"/>
    <xf numFmtId="0" fontId="9" fillId="0" borderId="0" xfId="4" applyFont="1" applyAlignment="1">
      <alignment wrapText="1"/>
    </xf>
    <xf numFmtId="9" fontId="0" fillId="0" borderId="0" xfId="14" applyFont="1"/>
    <xf numFmtId="9" fontId="0" fillId="0" borderId="0" xfId="14" applyFont="1" applyFill="1"/>
    <xf numFmtId="0" fontId="14" fillId="0" borderId="0" xfId="0" quotePrefix="1" applyFont="1"/>
    <xf numFmtId="0" fontId="14" fillId="4" borderId="0" xfId="0" applyFont="1" applyFill="1"/>
    <xf numFmtId="9" fontId="0" fillId="0" borderId="0" xfId="0" applyNumberFormat="1"/>
    <xf numFmtId="0" fontId="20" fillId="0" borderId="0" xfId="0" quotePrefix="1" applyFont="1" applyAlignment="1">
      <alignment vertical="center"/>
    </xf>
    <xf numFmtId="0" fontId="20" fillId="0" borderId="0" xfId="0" quotePrefix="1" applyFont="1"/>
    <xf numFmtId="0" fontId="14" fillId="0" borderId="0" xfId="0" applyFont="1" applyAlignment="1">
      <alignment wrapText="1"/>
    </xf>
    <xf numFmtId="0" fontId="0" fillId="5" borderId="0" xfId="0" applyFill="1"/>
    <xf numFmtId="0" fontId="0" fillId="6" borderId="0" xfId="0" applyFill="1"/>
    <xf numFmtId="0" fontId="22" fillId="6" borderId="0" xfId="0" applyFont="1" applyFill="1"/>
    <xf numFmtId="0" fontId="21" fillId="0" borderId="0" xfId="0" applyFont="1"/>
    <xf numFmtId="0" fontId="5" fillId="0" borderId="0" xfId="0" applyFont="1" applyAlignment="1">
      <alignment horizontal="center"/>
    </xf>
    <xf numFmtId="0" fontId="3" fillId="3" borderId="0" xfId="0" applyFont="1" applyFill="1" applyAlignment="1">
      <alignment horizontal="center"/>
    </xf>
    <xf numFmtId="0" fontId="3" fillId="2" borderId="0" xfId="0" applyFont="1" applyFill="1" applyAlignment="1">
      <alignment horizontal="center"/>
    </xf>
    <xf numFmtId="0" fontId="14" fillId="0" borderId="0" xfId="0" quotePrefix="1" applyFont="1" applyAlignment="1">
      <alignment horizontal="left" wrapText="1"/>
    </xf>
  </cellXfs>
  <cellStyles count="15">
    <cellStyle name="Comma" xfId="1" builtinId="3"/>
    <cellStyle name="Comma 2" xfId="11" xr:uid="{00000000-0005-0000-0000-000001000000}"/>
    <cellStyle name="Comma 3" xfId="6" xr:uid="{00000000-0005-0000-0000-000002000000}"/>
    <cellStyle name="Comma 4" xfId="13" xr:uid="{00000000-0005-0000-0000-000003000000}"/>
    <cellStyle name="Hyperlink 2" xfId="12" xr:uid="{00000000-0005-0000-0000-000004000000}"/>
    <cellStyle name="Normal" xfId="0" builtinId="0"/>
    <cellStyle name="Normal 2" xfId="2" xr:uid="{00000000-0005-0000-0000-000006000000}"/>
    <cellStyle name="Normal 2 2" xfId="7" xr:uid="{00000000-0005-0000-0000-000007000000}"/>
    <cellStyle name="Normal 3" xfId="8" xr:uid="{00000000-0005-0000-0000-000008000000}"/>
    <cellStyle name="Normal 4" xfId="10" xr:uid="{00000000-0005-0000-0000-000009000000}"/>
    <cellStyle name="Normal 5" xfId="5" xr:uid="{00000000-0005-0000-0000-00000A000000}"/>
    <cellStyle name="Normal 6" xfId="4" xr:uid="{00000000-0005-0000-0000-00000B000000}"/>
    <cellStyle name="Normal 7" xfId="3" xr:uid="{00000000-0005-0000-0000-00000C000000}"/>
    <cellStyle name="Percent" xfId="14" builtinId="5"/>
    <cellStyle name="Percent 2" xfId="9" xr:uid="{00000000-0005-0000-0000-00000E00000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1. Global Greenhouse Gas Emissions by Gas, 1990–2015</a:t>
            </a:r>
          </a:p>
        </c:rich>
      </c:tx>
      <c:layout>
        <c:manualLayout>
          <c:xMode val="edge"/>
          <c:yMode val="edge"/>
          <c:x val="0.14095449500554941"/>
          <c:y val="1.9575856443719456E-2"/>
        </c:manualLayout>
      </c:layout>
      <c:overlay val="0"/>
      <c:spPr>
        <a:noFill/>
        <a:ln w="25400">
          <a:noFill/>
        </a:ln>
      </c:spPr>
    </c:title>
    <c:autoTitleDeleted val="0"/>
    <c:plotArea>
      <c:layout>
        <c:manualLayout>
          <c:layoutTarget val="inner"/>
          <c:xMode val="edge"/>
          <c:yMode val="edge"/>
          <c:x val="0.11986681465038845"/>
          <c:y val="0.14029363784665591"/>
          <c:w val="0.66925638179800218"/>
          <c:h val="0.69168026101141922"/>
        </c:manualLayout>
      </c:layout>
      <c:barChart>
        <c:barDir val="col"/>
        <c:grouping val="stacked"/>
        <c:varyColors val="0"/>
        <c:ser>
          <c:idx val="0"/>
          <c:order val="0"/>
          <c:tx>
            <c:strRef>
              <c:f>'Data for Figure'!$D$3</c:f>
              <c:strCache>
                <c:ptCount val="1"/>
                <c:pt idx="0">
                  <c:v>Carbon dioxide</c:v>
                </c:pt>
              </c:strCache>
            </c:strRef>
          </c:tx>
          <c:spPr>
            <a:solidFill>
              <a:srgbClr val="99CCFF"/>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Figure'!$D$4:$D$9</c:f>
              <c:numCache>
                <c:formatCode>_(* #,##0_);_(* \(#,##0\);_(* "-"??_);_(@_)</c:formatCode>
                <c:ptCount val="6"/>
                <c:pt idx="0">
                  <c:v>23060.38</c:v>
                </c:pt>
                <c:pt idx="1">
                  <c:v>24086.41</c:v>
                </c:pt>
                <c:pt idx="2">
                  <c:v>25923.86</c:v>
                </c:pt>
                <c:pt idx="3">
                  <c:v>29908.23</c:v>
                </c:pt>
                <c:pt idx="4">
                  <c:v>33521.99</c:v>
                </c:pt>
                <c:pt idx="5">
                  <c:v>34686.31</c:v>
                </c:pt>
              </c:numCache>
            </c:numRef>
          </c:val>
          <c:extLst>
            <c:ext xmlns:c16="http://schemas.microsoft.com/office/drawing/2014/chart" uri="{C3380CC4-5D6E-409C-BE32-E72D297353CC}">
              <c16:uniqueId val="{00000000-A4D1-42C9-9F7D-118AF0FED2D6}"/>
            </c:ext>
          </c:extLst>
        </c:ser>
        <c:ser>
          <c:idx val="1"/>
          <c:order val="1"/>
          <c:tx>
            <c:strRef>
              <c:f>'Data for Figure'!$E$3</c:f>
              <c:strCache>
                <c:ptCount val="1"/>
                <c:pt idx="0">
                  <c:v>Methane</c:v>
                </c:pt>
              </c:strCache>
            </c:strRef>
          </c:tx>
          <c:spPr>
            <a:solidFill>
              <a:srgbClr val="FF6600"/>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Figure'!$E$4:$E$9</c:f>
              <c:numCache>
                <c:formatCode>_(* #,##0_);_(* \(#,##0\);_(* "-"??_);_(@_)</c:formatCode>
                <c:ptCount val="6"/>
                <c:pt idx="0">
                  <c:v>7002.92</c:v>
                </c:pt>
                <c:pt idx="1">
                  <c:v>7095.62</c:v>
                </c:pt>
                <c:pt idx="2">
                  <c:v>7171.95</c:v>
                </c:pt>
                <c:pt idx="3">
                  <c:v>7637.59</c:v>
                </c:pt>
                <c:pt idx="4">
                  <c:v>7930.31</c:v>
                </c:pt>
                <c:pt idx="5">
                  <c:v>8314.76</c:v>
                </c:pt>
              </c:numCache>
            </c:numRef>
          </c:val>
          <c:extLst>
            <c:ext xmlns:c16="http://schemas.microsoft.com/office/drawing/2014/chart" uri="{C3380CC4-5D6E-409C-BE32-E72D297353CC}">
              <c16:uniqueId val="{00000001-A4D1-42C9-9F7D-118AF0FED2D6}"/>
            </c:ext>
          </c:extLst>
        </c:ser>
        <c:ser>
          <c:idx val="2"/>
          <c:order val="2"/>
          <c:tx>
            <c:strRef>
              <c:f>'Data for Figure'!$F$3</c:f>
              <c:strCache>
                <c:ptCount val="1"/>
                <c:pt idx="0">
                  <c:v>Nitrous oxide</c:v>
                </c:pt>
              </c:strCache>
            </c:strRef>
          </c:tx>
          <c:spPr>
            <a:solidFill>
              <a:srgbClr val="969696"/>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Figure'!$F$4:$F$9</c:f>
              <c:numCache>
                <c:formatCode>_(* #,##0_);_(* \(#,##0\);_(* "-"??_);_(@_)</c:formatCode>
                <c:ptCount val="6"/>
                <c:pt idx="0">
                  <c:v>2369.5100000000002</c:v>
                </c:pt>
                <c:pt idx="1">
                  <c:v>2470.91</c:v>
                </c:pt>
                <c:pt idx="2">
                  <c:v>2472.06</c:v>
                </c:pt>
                <c:pt idx="3">
                  <c:v>2702.93</c:v>
                </c:pt>
                <c:pt idx="4">
                  <c:v>2855.38</c:v>
                </c:pt>
                <c:pt idx="5">
                  <c:v>2991.77</c:v>
                </c:pt>
              </c:numCache>
            </c:numRef>
          </c:val>
          <c:extLst>
            <c:ext xmlns:c16="http://schemas.microsoft.com/office/drawing/2014/chart" uri="{C3380CC4-5D6E-409C-BE32-E72D297353CC}">
              <c16:uniqueId val="{00000002-A4D1-42C9-9F7D-118AF0FED2D6}"/>
            </c:ext>
          </c:extLst>
        </c:ser>
        <c:ser>
          <c:idx val="3"/>
          <c:order val="3"/>
          <c:tx>
            <c:strRef>
              <c:f>'Data for Figure'!$G$3</c:f>
              <c:strCache>
                <c:ptCount val="1"/>
                <c:pt idx="0">
                  <c:v>HFCs, PFCs, and SF6*</c:v>
                </c:pt>
              </c:strCache>
            </c:strRef>
          </c:tx>
          <c:spPr>
            <a:solidFill>
              <a:srgbClr val="CC99FF"/>
            </a:solidFill>
            <a:ln w="12700">
              <a:solidFill>
                <a:srgbClr val="000000"/>
              </a:solidFill>
              <a:prstDash val="solid"/>
            </a:ln>
          </c:spPr>
          <c:invertIfNegative val="0"/>
          <c:cat>
            <c:numRef>
              <c:f>'Data for Figure'!$B$4:$B$9</c:f>
              <c:numCache>
                <c:formatCode>General</c:formatCode>
                <c:ptCount val="6"/>
                <c:pt idx="0">
                  <c:v>1990</c:v>
                </c:pt>
                <c:pt idx="1">
                  <c:v>1995</c:v>
                </c:pt>
                <c:pt idx="2">
                  <c:v>2000</c:v>
                </c:pt>
                <c:pt idx="3">
                  <c:v>2005</c:v>
                </c:pt>
                <c:pt idx="4">
                  <c:v>2010</c:v>
                </c:pt>
                <c:pt idx="5">
                  <c:v>2015</c:v>
                </c:pt>
              </c:numCache>
            </c:numRef>
          </c:cat>
          <c:val>
            <c:numRef>
              <c:f>'Data for Figure'!$G$4:$G$9</c:f>
              <c:numCache>
                <c:formatCode>_(* #,##0_);_(* \(#,##0\);_(* "-"??_);_(@_)</c:formatCode>
                <c:ptCount val="6"/>
                <c:pt idx="0">
                  <c:v>302.20999999999998</c:v>
                </c:pt>
                <c:pt idx="1">
                  <c:v>329.36</c:v>
                </c:pt>
                <c:pt idx="2">
                  <c:v>443.72</c:v>
                </c:pt>
                <c:pt idx="3">
                  <c:v>541.91</c:v>
                </c:pt>
                <c:pt idx="4">
                  <c:v>762.28</c:v>
                </c:pt>
                <c:pt idx="5">
                  <c:v>1000.64</c:v>
                </c:pt>
              </c:numCache>
            </c:numRef>
          </c:val>
          <c:extLst>
            <c:ext xmlns:c16="http://schemas.microsoft.com/office/drawing/2014/chart" uri="{C3380CC4-5D6E-409C-BE32-E72D297353CC}">
              <c16:uniqueId val="{00000003-A4D1-42C9-9F7D-118AF0FED2D6}"/>
            </c:ext>
          </c:extLst>
        </c:ser>
        <c:dLbls>
          <c:showLegendKey val="0"/>
          <c:showVal val="0"/>
          <c:showCatName val="0"/>
          <c:showSerName val="0"/>
          <c:showPercent val="0"/>
          <c:showBubbleSize val="0"/>
        </c:dLbls>
        <c:gapWidth val="92"/>
        <c:overlap val="100"/>
        <c:axId val="62401152"/>
        <c:axId val="62423808"/>
      </c:barChart>
      <c:catAx>
        <c:axId val="62401152"/>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Year</a:t>
                </a:r>
              </a:p>
            </c:rich>
          </c:tx>
          <c:layout>
            <c:manualLayout>
              <c:xMode val="edge"/>
              <c:yMode val="edge"/>
              <c:x val="0.43063264282350772"/>
              <c:y val="0.9233315034517960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1200" b="0" i="0" u="none" strike="noStrike" baseline="0">
                <a:solidFill>
                  <a:srgbClr val="000000"/>
                </a:solidFill>
                <a:latin typeface="Arial"/>
                <a:ea typeface="Arial"/>
                <a:cs typeface="Arial"/>
              </a:defRPr>
            </a:pPr>
            <a:endParaRPr lang="en-US"/>
          </a:p>
        </c:txPr>
        <c:crossAx val="62423808"/>
        <c:crosses val="autoZero"/>
        <c:auto val="1"/>
        <c:lblAlgn val="ctr"/>
        <c:lblOffset val="100"/>
        <c:tickLblSkip val="1"/>
        <c:tickMarkSkip val="1"/>
        <c:noMultiLvlLbl val="0"/>
      </c:catAx>
      <c:valAx>
        <c:axId val="62423808"/>
        <c:scaling>
          <c:orientation val="minMax"/>
          <c:max val="50000"/>
        </c:scaling>
        <c:delete val="0"/>
        <c:axPos val="l"/>
        <c:majorGridlines>
          <c:spPr>
            <a:ln w="3175">
              <a:solidFill>
                <a:srgbClr val="C0C0C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Emissions (million metric tons of carbon dioxide equivalents)</a:t>
                </a:r>
              </a:p>
            </c:rich>
          </c:tx>
          <c:layout>
            <c:manualLayout>
              <c:xMode val="edge"/>
              <c:yMode val="edge"/>
              <c:x val="1.9237883832778403E-2"/>
              <c:y val="9.9510603588907065E-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401152"/>
        <c:crosses val="autoZero"/>
        <c:crossBetween val="between"/>
        <c:majorUnit val="10000"/>
        <c:minorUnit val="1000"/>
      </c:valAx>
      <c:spPr>
        <a:noFill/>
        <a:ln w="38100">
          <a:solidFill>
            <a:srgbClr val="C0C0C0"/>
          </a:solidFill>
          <a:prstDash val="solid"/>
        </a:ln>
      </c:spPr>
    </c:plotArea>
    <c:legend>
      <c:legendPos val="r"/>
      <c:layout>
        <c:manualLayout>
          <c:xMode val="edge"/>
          <c:yMode val="edge"/>
          <c:x val="0.79911209766925639"/>
          <c:y val="0.41109298531810839"/>
          <c:w val="0.19533851276359587"/>
          <c:h val="0.15171288743882597"/>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2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85" workbookViewId="0"/>
  </sheetViews>
  <pageMargins left="0.75" right="0.75" top="1" bottom="1" header="0.5" footer="0.5"/>
  <pageSetup orientation="landscape" horizontalDpi="1200" verticalDpi="1200"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570259" cy="5827059"/>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7"/>
  <sheetViews>
    <sheetView zoomScaleNormal="100" workbookViewId="0">
      <selection activeCell="J12" sqref="J12"/>
    </sheetView>
  </sheetViews>
  <sheetFormatPr defaultRowHeight="13.2" x14ac:dyDescent="0.25"/>
  <cols>
    <col min="9" max="11" width="9.109375" style="2"/>
    <col min="17" max="17" width="13.109375" customWidth="1"/>
    <col min="18" max="18" width="15.33203125" customWidth="1"/>
    <col min="20" max="20" width="13.6640625" customWidth="1"/>
  </cols>
  <sheetData>
    <row r="1" spans="1:20" x14ac:dyDescent="0.25">
      <c r="A1" s="35" t="s">
        <v>43</v>
      </c>
      <c r="B1" s="35"/>
      <c r="C1" s="35"/>
      <c r="D1" s="35"/>
      <c r="E1" s="35"/>
      <c r="F1" s="35"/>
      <c r="G1" s="35"/>
      <c r="M1" s="34" t="s">
        <v>15</v>
      </c>
      <c r="N1" s="34"/>
      <c r="O1" s="34"/>
      <c r="P1" s="34"/>
      <c r="Q1" s="34"/>
      <c r="R1" s="34"/>
      <c r="S1" s="34"/>
      <c r="T1" s="34"/>
    </row>
    <row r="2" spans="1:20" ht="19.5" customHeight="1" x14ac:dyDescent="0.25">
      <c r="A2" s="5" t="s">
        <v>10</v>
      </c>
      <c r="B2" s="5" t="s">
        <v>11</v>
      </c>
      <c r="C2" s="4" t="s">
        <v>24</v>
      </c>
    </row>
    <row r="3" spans="1:20" ht="28.8" x14ac:dyDescent="0.35">
      <c r="A3" s="6"/>
      <c r="B3" s="7" t="s">
        <v>12</v>
      </c>
      <c r="C3" s="7" t="s">
        <v>13</v>
      </c>
      <c r="D3" s="8" t="s">
        <v>3</v>
      </c>
      <c r="E3" s="9" t="s">
        <v>4</v>
      </c>
      <c r="F3" s="9" t="s">
        <v>5</v>
      </c>
      <c r="G3" s="9" t="s">
        <v>19</v>
      </c>
      <c r="N3" t="s">
        <v>0</v>
      </c>
      <c r="O3" s="6" t="s">
        <v>3</v>
      </c>
      <c r="P3" s="3" t="s">
        <v>4</v>
      </c>
      <c r="Q3" s="3" t="s">
        <v>5</v>
      </c>
      <c r="R3" s="6" t="s">
        <v>14</v>
      </c>
      <c r="T3" s="20" t="s">
        <v>7</v>
      </c>
    </row>
    <row r="4" spans="1:20" x14ac:dyDescent="0.25">
      <c r="A4" s="10" t="s">
        <v>1</v>
      </c>
      <c r="B4" s="11">
        <v>1990</v>
      </c>
      <c r="C4" s="12">
        <f>SUM(D4:G4)</f>
        <v>32735.020000000004</v>
      </c>
      <c r="D4" s="13">
        <f>'Original Data-Climate Watch'!C3</f>
        <v>23060.38</v>
      </c>
      <c r="E4" s="14">
        <f>'Original Data-Climate Watch'!C2</f>
        <v>7002.92</v>
      </c>
      <c r="F4" s="14">
        <f>'Original Data-Climate Watch'!C5</f>
        <v>2369.5100000000002</v>
      </c>
      <c r="G4" s="14">
        <f>'Original Data-Climate Watch'!C4</f>
        <v>302.20999999999998</v>
      </c>
      <c r="M4" s="11">
        <v>1990</v>
      </c>
      <c r="N4" s="22">
        <f>C4/$C4</f>
        <v>1</v>
      </c>
      <c r="O4" s="22">
        <f>D4/$C4</f>
        <v>0.70445596184147741</v>
      </c>
      <c r="P4" s="22">
        <f t="shared" ref="P4:R9" si="0">E4/$C4</f>
        <v>0.21392746972508339</v>
      </c>
      <c r="Q4" s="22">
        <f t="shared" si="0"/>
        <v>7.2384559410686167E-2</v>
      </c>
      <c r="R4" s="22">
        <f t="shared" si="0"/>
        <v>9.2320090227530002E-3</v>
      </c>
      <c r="S4" s="25"/>
      <c r="T4" s="19" t="str">
        <f>IF(SUM(D4:G4)=C4,"Totals Match","NO MATCH")</f>
        <v>Totals Match</v>
      </c>
    </row>
    <row r="5" spans="1:20" x14ac:dyDescent="0.25">
      <c r="A5" s="10" t="s">
        <v>1</v>
      </c>
      <c r="B5" s="11">
        <v>1995</v>
      </c>
      <c r="C5" s="12">
        <f t="shared" ref="C5:C9" si="1">SUM(D5:G5)</f>
        <v>33982.300000000003</v>
      </c>
      <c r="D5" s="13">
        <f>'Original Data-Climate Watch'!H3</f>
        <v>24086.41</v>
      </c>
      <c r="E5" s="14">
        <f>'Original Data-Climate Watch'!H2</f>
        <v>7095.62</v>
      </c>
      <c r="F5" s="14">
        <f>'Original Data-Climate Watch'!H5</f>
        <v>2470.91</v>
      </c>
      <c r="G5" s="14">
        <f>'Original Data-Climate Watch'!H4</f>
        <v>329.36</v>
      </c>
      <c r="M5" s="11">
        <v>1995</v>
      </c>
      <c r="N5" s="22">
        <f t="shared" ref="N5:N8" si="2">C5/$C5</f>
        <v>1</v>
      </c>
      <c r="O5" s="22">
        <f t="shared" ref="O5:O9" si="3">D5/$C5</f>
        <v>0.70879281272897943</v>
      </c>
      <c r="P5" s="22">
        <f t="shared" si="0"/>
        <v>0.20880340647925535</v>
      </c>
      <c r="Q5" s="22">
        <f t="shared" si="0"/>
        <v>7.2711676372699902E-2</v>
      </c>
      <c r="R5" s="22">
        <f t="shared" si="0"/>
        <v>9.6921044190652183E-3</v>
      </c>
      <c r="S5" s="25"/>
      <c r="T5" s="19" t="str">
        <f t="shared" ref="T5:T9" si="4">IF(SUM(D5:G5)=C5,"Totals Match","NO MATCH")</f>
        <v>Totals Match</v>
      </c>
    </row>
    <row r="6" spans="1:20" x14ac:dyDescent="0.25">
      <c r="A6" s="10" t="s">
        <v>1</v>
      </c>
      <c r="B6" s="11">
        <v>2000</v>
      </c>
      <c r="C6" s="12">
        <f t="shared" si="1"/>
        <v>36011.589999999997</v>
      </c>
      <c r="D6" s="13">
        <f>'Original Data-Climate Watch'!M3</f>
        <v>25923.86</v>
      </c>
      <c r="E6" s="14">
        <f>'Original Data-Climate Watch'!M2</f>
        <v>7171.95</v>
      </c>
      <c r="F6" s="14">
        <f>'Original Data-Climate Watch'!M5</f>
        <v>2472.06</v>
      </c>
      <c r="G6" s="14">
        <f>'Original Data-Climate Watch'!M4</f>
        <v>443.72</v>
      </c>
      <c r="M6" s="11">
        <v>2000</v>
      </c>
      <c r="N6" s="22">
        <f t="shared" si="2"/>
        <v>1</v>
      </c>
      <c r="O6" s="22">
        <f t="shared" si="3"/>
        <v>0.71987546231643762</v>
      </c>
      <c r="P6" s="22">
        <f t="shared" si="0"/>
        <v>0.19915671593506426</v>
      </c>
      <c r="Q6" s="22">
        <f t="shared" si="0"/>
        <v>6.8646233059967643E-2</v>
      </c>
      <c r="R6" s="22">
        <f t="shared" si="0"/>
        <v>1.2321588688530555E-2</v>
      </c>
      <c r="S6" s="25"/>
      <c r="T6" s="19" t="str">
        <f t="shared" si="4"/>
        <v>Totals Match</v>
      </c>
    </row>
    <row r="7" spans="1:20" x14ac:dyDescent="0.25">
      <c r="A7" s="10" t="s">
        <v>1</v>
      </c>
      <c r="B7" s="11">
        <v>2005</v>
      </c>
      <c r="C7" s="12">
        <f t="shared" si="1"/>
        <v>40790.660000000003</v>
      </c>
      <c r="D7" s="13">
        <f>'Original Data-Climate Watch'!R3</f>
        <v>29908.23</v>
      </c>
      <c r="E7" s="14">
        <f>'Original Data-Climate Watch'!R2</f>
        <v>7637.59</v>
      </c>
      <c r="F7" s="14">
        <f>'Original Data-Climate Watch'!R5</f>
        <v>2702.93</v>
      </c>
      <c r="G7" s="14">
        <f>'Original Data-Climate Watch'!R4</f>
        <v>541.91</v>
      </c>
      <c r="M7" s="11">
        <v>2005</v>
      </c>
      <c r="N7" s="22">
        <f t="shared" si="2"/>
        <v>1</v>
      </c>
      <c r="O7" s="22">
        <f t="shared" si="3"/>
        <v>0.73321270114285964</v>
      </c>
      <c r="P7" s="22">
        <f t="shared" si="0"/>
        <v>0.18723869630940024</v>
      </c>
      <c r="Q7" s="22">
        <f t="shared" si="0"/>
        <v>6.6263453447431342E-2</v>
      </c>
      <c r="R7" s="22">
        <f t="shared" si="0"/>
        <v>1.3285149100308745E-2</v>
      </c>
      <c r="S7" s="25"/>
      <c r="T7" s="19" t="str">
        <f t="shared" si="4"/>
        <v>Totals Match</v>
      </c>
    </row>
    <row r="8" spans="1:20" x14ac:dyDescent="0.25">
      <c r="A8" s="10" t="s">
        <v>1</v>
      </c>
      <c r="B8" s="11">
        <v>2010</v>
      </c>
      <c r="C8" s="12">
        <f t="shared" si="1"/>
        <v>45069.959999999992</v>
      </c>
      <c r="D8" s="13">
        <f>'Original Data-Climate Watch'!W3</f>
        <v>33521.99</v>
      </c>
      <c r="E8" s="14">
        <f>'Original Data-Climate Watch'!W2</f>
        <v>7930.31</v>
      </c>
      <c r="F8" s="14">
        <f>'Original Data-Climate Watch'!W5</f>
        <v>2855.38</v>
      </c>
      <c r="G8" s="14">
        <f>'Original Data-Climate Watch'!W4</f>
        <v>762.28</v>
      </c>
      <c r="M8" s="11">
        <v>2010</v>
      </c>
      <c r="N8" s="22">
        <f t="shared" si="2"/>
        <v>1</v>
      </c>
      <c r="O8" s="22">
        <f t="shared" si="3"/>
        <v>0.74377678613426779</v>
      </c>
      <c r="P8" s="22">
        <f t="shared" si="0"/>
        <v>0.17595555886892295</v>
      </c>
      <c r="Q8" s="22">
        <f t="shared" si="0"/>
        <v>6.3354393924467664E-2</v>
      </c>
      <c r="R8" s="22">
        <f t="shared" si="0"/>
        <v>1.6913261072341756E-2</v>
      </c>
      <c r="S8" s="25"/>
      <c r="T8" s="19" t="str">
        <f t="shared" si="4"/>
        <v>Totals Match</v>
      </c>
    </row>
    <row r="9" spans="1:20" x14ac:dyDescent="0.25">
      <c r="A9" s="10" t="s">
        <v>1</v>
      </c>
      <c r="B9" s="11">
        <v>2015</v>
      </c>
      <c r="C9" s="12">
        <f t="shared" si="1"/>
        <v>46993.479999999996</v>
      </c>
      <c r="D9" s="13">
        <f>'Original Data-Climate Watch'!AB3</f>
        <v>34686.31</v>
      </c>
      <c r="E9" s="14">
        <f>'Original Data-Climate Watch'!AB2</f>
        <v>8314.76</v>
      </c>
      <c r="F9" s="14">
        <f>'Original Data-Climate Watch'!AB5</f>
        <v>2991.77</v>
      </c>
      <c r="G9" s="14">
        <f>'Original Data-Climate Watch'!AB4</f>
        <v>1000.64</v>
      </c>
      <c r="M9" s="11">
        <v>2015</v>
      </c>
      <c r="N9" s="22">
        <f t="shared" ref="N9" si="5">C9/$C9</f>
        <v>1</v>
      </c>
      <c r="O9" s="22">
        <f t="shared" si="3"/>
        <v>0.73810898873630981</v>
      </c>
      <c r="P9" s="22">
        <f t="shared" si="0"/>
        <v>0.17693433216693041</v>
      </c>
      <c r="Q9" s="22">
        <f t="shared" si="0"/>
        <v>6.366351247024056E-2</v>
      </c>
      <c r="R9" s="22">
        <f t="shared" si="0"/>
        <v>2.1293166626519255E-2</v>
      </c>
      <c r="T9" s="19" t="str">
        <f t="shared" si="4"/>
        <v>Totals Match</v>
      </c>
    </row>
    <row r="11" spans="1:20" x14ac:dyDescent="0.25">
      <c r="A11" s="34" t="s">
        <v>18</v>
      </c>
      <c r="B11" s="34"/>
      <c r="H11" s="1"/>
    </row>
    <row r="12" spans="1:20" x14ac:dyDescent="0.25">
      <c r="A12" s="33" t="s">
        <v>47</v>
      </c>
      <c r="B12" s="33"/>
      <c r="C12" s="21">
        <f>(C9-C4)/C4</f>
        <v>0.43557205708137614</v>
      </c>
      <c r="D12" s="21">
        <f t="shared" ref="D12:G12" si="6">(D9-D4)/D4</f>
        <v>0.50415170955552324</v>
      </c>
      <c r="E12" s="21">
        <f t="shared" si="6"/>
        <v>0.18732757192713897</v>
      </c>
      <c r="F12" s="21">
        <f t="shared" si="6"/>
        <v>0.26261125717975436</v>
      </c>
      <c r="G12" s="21">
        <f t="shared" si="6"/>
        <v>2.3110750802422162</v>
      </c>
    </row>
    <row r="17" spans="2:2" ht="22.8" x14ac:dyDescent="0.4">
      <c r="B17" s="32"/>
    </row>
  </sheetData>
  <mergeCells count="4">
    <mergeCell ref="A12:B12"/>
    <mergeCell ref="M1:T1"/>
    <mergeCell ref="A1:G1"/>
    <mergeCell ref="A11:B11"/>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721C-FEA0-424F-BFED-A20DF6364804}">
  <dimension ref="A1:AI10"/>
  <sheetViews>
    <sheetView workbookViewId="0">
      <selection activeCell="D11" sqref="D11"/>
    </sheetView>
  </sheetViews>
  <sheetFormatPr defaultRowHeight="13.2" x14ac:dyDescent="0.25"/>
  <cols>
    <col min="1" max="1" width="11" bestFit="1" customWidth="1"/>
    <col min="2" max="2" width="53.33203125" bestFit="1" customWidth="1"/>
    <col min="3" max="3" width="16.109375" customWidth="1"/>
  </cols>
  <sheetData>
    <row r="1" spans="1:35" x14ac:dyDescent="0.25">
      <c r="A1" t="s">
        <v>29</v>
      </c>
      <c r="B1" t="s">
        <v>30</v>
      </c>
      <c r="C1" s="29">
        <v>1990</v>
      </c>
      <c r="D1">
        <v>1991</v>
      </c>
      <c r="E1">
        <v>1992</v>
      </c>
      <c r="F1">
        <v>1993</v>
      </c>
      <c r="G1">
        <v>1994</v>
      </c>
      <c r="H1" s="29">
        <v>1995</v>
      </c>
      <c r="I1">
        <v>1996</v>
      </c>
      <c r="J1">
        <v>1997</v>
      </c>
      <c r="K1">
        <v>1998</v>
      </c>
      <c r="L1">
        <v>1999</v>
      </c>
      <c r="M1" s="29">
        <v>2000</v>
      </c>
      <c r="N1">
        <v>2001</v>
      </c>
      <c r="O1">
        <v>2002</v>
      </c>
      <c r="P1">
        <v>2003</v>
      </c>
      <c r="Q1">
        <v>2004</v>
      </c>
      <c r="R1" s="29">
        <v>2005</v>
      </c>
      <c r="S1">
        <v>2006</v>
      </c>
      <c r="T1">
        <v>2007</v>
      </c>
      <c r="U1">
        <v>2008</v>
      </c>
      <c r="V1">
        <v>2009</v>
      </c>
      <c r="W1" s="29">
        <v>2010</v>
      </c>
      <c r="X1">
        <v>2011</v>
      </c>
      <c r="Y1">
        <v>2012</v>
      </c>
      <c r="Z1">
        <v>2013</v>
      </c>
      <c r="AA1">
        <v>2014</v>
      </c>
      <c r="AB1" s="29">
        <v>2015</v>
      </c>
      <c r="AC1" s="30">
        <v>2016</v>
      </c>
      <c r="AD1" s="30">
        <v>2017</v>
      </c>
      <c r="AE1" s="30">
        <v>2018</v>
      </c>
      <c r="AF1" s="30">
        <v>2019</v>
      </c>
      <c r="AG1" s="30">
        <v>2020</v>
      </c>
      <c r="AH1" s="30">
        <v>2021</v>
      </c>
    </row>
    <row r="2" spans="1:35" x14ac:dyDescent="0.25">
      <c r="A2" t="s">
        <v>31</v>
      </c>
      <c r="B2" t="s">
        <v>11</v>
      </c>
      <c r="C2" s="29">
        <v>7002.92</v>
      </c>
      <c r="D2">
        <v>7029.68</v>
      </c>
      <c r="E2">
        <v>6981.2</v>
      </c>
      <c r="F2">
        <v>6993.73</v>
      </c>
      <c r="G2">
        <v>7017.8</v>
      </c>
      <c r="H2" s="29">
        <v>7095.62</v>
      </c>
      <c r="I2">
        <v>7104.65</v>
      </c>
      <c r="J2">
        <v>7338.17</v>
      </c>
      <c r="K2">
        <v>7207.18</v>
      </c>
      <c r="L2">
        <v>7147.65</v>
      </c>
      <c r="M2" s="29">
        <v>7171.95</v>
      </c>
      <c r="N2">
        <v>7130.76</v>
      </c>
      <c r="O2">
        <v>7266.25</v>
      </c>
      <c r="P2">
        <v>7332.98</v>
      </c>
      <c r="Q2">
        <v>7580.43</v>
      </c>
      <c r="R2" s="29">
        <v>7637.59</v>
      </c>
      <c r="S2">
        <v>7807.8</v>
      </c>
      <c r="T2">
        <v>7781.48</v>
      </c>
      <c r="U2">
        <v>7814.77</v>
      </c>
      <c r="V2">
        <v>7834.51</v>
      </c>
      <c r="W2" s="29">
        <v>7930.31</v>
      </c>
      <c r="X2">
        <v>8086.24</v>
      </c>
      <c r="Y2">
        <v>8162.66</v>
      </c>
      <c r="Z2">
        <v>8137.37</v>
      </c>
      <c r="AA2">
        <v>8288</v>
      </c>
      <c r="AB2" s="29">
        <v>8314.76</v>
      </c>
      <c r="AC2" s="30">
        <v>8216.42</v>
      </c>
      <c r="AD2" s="30">
        <v>8289.6299999999992</v>
      </c>
      <c r="AE2" s="30">
        <v>8420.52</v>
      </c>
      <c r="AF2" s="30">
        <v>8550.57</v>
      </c>
      <c r="AG2" s="30">
        <v>8321.4</v>
      </c>
      <c r="AH2" s="30">
        <v>8457.1299999999992</v>
      </c>
    </row>
    <row r="3" spans="1:35" x14ac:dyDescent="0.25">
      <c r="A3" t="s">
        <v>32</v>
      </c>
      <c r="B3" t="s">
        <v>11</v>
      </c>
      <c r="C3" s="29">
        <v>23060.38</v>
      </c>
      <c r="D3">
        <v>23217.45</v>
      </c>
      <c r="E3">
        <v>23167.98</v>
      </c>
      <c r="F3">
        <v>23311.16</v>
      </c>
      <c r="G3">
        <v>23457.62</v>
      </c>
      <c r="H3" s="29">
        <v>24086.41</v>
      </c>
      <c r="I3">
        <v>24434.73</v>
      </c>
      <c r="J3">
        <v>25546.76</v>
      </c>
      <c r="K3">
        <v>25154.68</v>
      </c>
      <c r="L3">
        <v>25227.59</v>
      </c>
      <c r="M3" s="29">
        <v>25923.86</v>
      </c>
      <c r="N3">
        <v>26010.78</v>
      </c>
      <c r="O3">
        <v>26731.15</v>
      </c>
      <c r="P3">
        <v>27602.5</v>
      </c>
      <c r="Q3">
        <v>29073.03</v>
      </c>
      <c r="R3" s="29">
        <v>29908.23</v>
      </c>
      <c r="S3">
        <v>31139.35</v>
      </c>
      <c r="T3">
        <v>31825.919999999998</v>
      </c>
      <c r="U3">
        <v>32031.279999999999</v>
      </c>
      <c r="V3">
        <v>31953.27</v>
      </c>
      <c r="W3" s="29">
        <v>33521.99</v>
      </c>
      <c r="X3">
        <v>33429.629999999997</v>
      </c>
      <c r="Y3">
        <v>33816.18</v>
      </c>
      <c r="Z3">
        <v>34469.49</v>
      </c>
      <c r="AA3">
        <v>34856.42</v>
      </c>
      <c r="AB3" s="29">
        <v>34686.31</v>
      </c>
      <c r="AC3" s="30">
        <v>35383.269999999997</v>
      </c>
      <c r="AD3" s="30">
        <v>35877.65</v>
      </c>
      <c r="AE3" s="30">
        <v>36865.29</v>
      </c>
      <c r="AF3" s="30">
        <v>37046.269999999997</v>
      </c>
      <c r="AG3" s="30">
        <v>34819.589999999997</v>
      </c>
      <c r="AH3" s="30">
        <v>36693.410000000003</v>
      </c>
    </row>
    <row r="4" spans="1:35" x14ac:dyDescent="0.25">
      <c r="A4" t="s">
        <v>33</v>
      </c>
      <c r="B4" t="s">
        <v>11</v>
      </c>
      <c r="C4" s="29">
        <v>302.20999999999998</v>
      </c>
      <c r="D4">
        <v>297.51</v>
      </c>
      <c r="E4">
        <v>294.57</v>
      </c>
      <c r="F4">
        <v>290.55</v>
      </c>
      <c r="G4">
        <v>297.94</v>
      </c>
      <c r="H4" s="29">
        <v>329.36</v>
      </c>
      <c r="I4">
        <v>359.05</v>
      </c>
      <c r="J4">
        <v>391.61</v>
      </c>
      <c r="K4">
        <v>424.94</v>
      </c>
      <c r="L4">
        <v>426.78</v>
      </c>
      <c r="M4" s="29">
        <v>443.72</v>
      </c>
      <c r="N4">
        <v>441.58</v>
      </c>
      <c r="O4">
        <v>467.43</v>
      </c>
      <c r="P4">
        <v>477.72</v>
      </c>
      <c r="Q4">
        <v>511.84</v>
      </c>
      <c r="R4" s="29">
        <v>541.91</v>
      </c>
      <c r="S4">
        <v>587.20000000000005</v>
      </c>
      <c r="T4">
        <v>641.45000000000005</v>
      </c>
      <c r="U4">
        <v>684.64</v>
      </c>
      <c r="V4">
        <v>705.57</v>
      </c>
      <c r="W4" s="29">
        <v>762.28</v>
      </c>
      <c r="X4">
        <v>812.31</v>
      </c>
      <c r="Y4">
        <v>861.06</v>
      </c>
      <c r="Z4">
        <v>908.93</v>
      </c>
      <c r="AA4">
        <v>962.57</v>
      </c>
      <c r="AB4" s="29">
        <v>1000.64</v>
      </c>
      <c r="AC4" s="30">
        <v>1053.5999999999999</v>
      </c>
      <c r="AD4" s="30">
        <v>1094.8699999999999</v>
      </c>
      <c r="AE4" s="30">
        <v>1136.1400000000001</v>
      </c>
      <c r="AF4" s="30">
        <v>1177.4100000000001</v>
      </c>
      <c r="AG4" s="30">
        <v>1218.67</v>
      </c>
      <c r="AH4" s="30">
        <v>1281.99</v>
      </c>
    </row>
    <row r="5" spans="1:35" x14ac:dyDescent="0.25">
      <c r="A5" t="s">
        <v>34</v>
      </c>
      <c r="B5" t="s">
        <v>11</v>
      </c>
      <c r="C5" s="29">
        <v>2369.5100000000002</v>
      </c>
      <c r="D5">
        <v>2336.16</v>
      </c>
      <c r="E5">
        <v>2343.77</v>
      </c>
      <c r="F5">
        <v>2328.6</v>
      </c>
      <c r="G5">
        <v>2418.41</v>
      </c>
      <c r="H5" s="29">
        <v>2470.91</v>
      </c>
      <c r="I5">
        <v>2474.0100000000002</v>
      </c>
      <c r="J5">
        <v>2462.61</v>
      </c>
      <c r="K5">
        <v>2492.12</v>
      </c>
      <c r="L5">
        <v>2479.4</v>
      </c>
      <c r="M5" s="29">
        <v>2472.06</v>
      </c>
      <c r="N5">
        <v>2508.1</v>
      </c>
      <c r="O5">
        <v>2565.0500000000002</v>
      </c>
      <c r="P5">
        <v>2605.09</v>
      </c>
      <c r="Q5">
        <v>2688.31</v>
      </c>
      <c r="R5" s="29">
        <v>2702.93</v>
      </c>
      <c r="S5">
        <v>2730.7</v>
      </c>
      <c r="T5">
        <v>2802.12</v>
      </c>
      <c r="U5">
        <v>2765.26</v>
      </c>
      <c r="V5">
        <v>2765.68</v>
      </c>
      <c r="W5" s="29">
        <v>2855.38</v>
      </c>
      <c r="X5">
        <v>2919.48</v>
      </c>
      <c r="Y5">
        <v>2941.26</v>
      </c>
      <c r="Z5">
        <v>2915.15</v>
      </c>
      <c r="AA5">
        <v>2963.13</v>
      </c>
      <c r="AB5" s="29">
        <v>2991.77</v>
      </c>
      <c r="AC5" s="30">
        <v>3015.18</v>
      </c>
      <c r="AD5" s="30">
        <v>3079.14</v>
      </c>
      <c r="AE5" s="30">
        <v>3060.15</v>
      </c>
      <c r="AF5" s="30">
        <v>3069.33</v>
      </c>
      <c r="AG5" s="30">
        <v>3103.5</v>
      </c>
      <c r="AH5" s="30">
        <v>3120.95</v>
      </c>
    </row>
    <row r="6" spans="1:35" x14ac:dyDescent="0.25">
      <c r="A6" t="s">
        <v>35</v>
      </c>
      <c r="B6" t="s">
        <v>45</v>
      </c>
    </row>
    <row r="10" spans="1:35" ht="20.399999999999999" x14ac:dyDescent="0.35">
      <c r="X10" s="31" t="s">
        <v>52</v>
      </c>
      <c r="Y10" s="30"/>
      <c r="Z10" s="30"/>
      <c r="AA10" s="30"/>
      <c r="AB10" s="30"/>
      <c r="AC10" s="30"/>
      <c r="AD10" s="30"/>
      <c r="AE10" s="30"/>
      <c r="AF10" s="30"/>
      <c r="AG10" s="30"/>
      <c r="AH10" s="30"/>
      <c r="AI10"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6"/>
  <sheetViews>
    <sheetView tabSelected="1" workbookViewId="0">
      <selection activeCell="C17" sqref="C17"/>
    </sheetView>
  </sheetViews>
  <sheetFormatPr defaultRowHeight="13.2" x14ac:dyDescent="0.25"/>
  <cols>
    <col min="1" max="1" width="23" customWidth="1"/>
    <col min="2" max="3" width="38.6640625" customWidth="1"/>
  </cols>
  <sheetData>
    <row r="1" spans="1:3" ht="18" x14ac:dyDescent="0.35">
      <c r="A1" s="15" t="s">
        <v>6</v>
      </c>
    </row>
    <row r="2" spans="1:3" ht="18" x14ac:dyDescent="0.35">
      <c r="A2" s="15"/>
    </row>
    <row r="3" spans="1:3" s="17" customFormat="1" ht="14.4" x14ac:dyDescent="0.3">
      <c r="A3" s="16" t="s">
        <v>9</v>
      </c>
      <c r="B3" s="24"/>
      <c r="C3" s="24"/>
    </row>
    <row r="4" spans="1:3" s="17" customFormat="1" ht="14.4" x14ac:dyDescent="0.3"/>
    <row r="5" spans="1:3" s="17" customFormat="1" ht="14.4" x14ac:dyDescent="0.3">
      <c r="A5" s="23" t="s">
        <v>51</v>
      </c>
    </row>
    <row r="6" spans="1:3" s="17" customFormat="1" ht="14.4" x14ac:dyDescent="0.3"/>
    <row r="7" spans="1:3" s="17" customFormat="1" ht="14.4" x14ac:dyDescent="0.3">
      <c r="A7" s="16" t="s">
        <v>8</v>
      </c>
      <c r="B7" s="24"/>
      <c r="C7" s="24"/>
    </row>
    <row r="8" spans="1:3" s="17" customFormat="1" ht="14.4" x14ac:dyDescent="0.3"/>
    <row r="9" spans="1:3" s="17" customFormat="1" ht="14.4" x14ac:dyDescent="0.3">
      <c r="A9" s="17" t="s">
        <v>37</v>
      </c>
    </row>
    <row r="10" spans="1:3" s="17" customFormat="1" ht="14.4" x14ac:dyDescent="0.3">
      <c r="B10" s="23"/>
    </row>
    <row r="11" spans="1:3" s="17" customFormat="1" ht="14.4" x14ac:dyDescent="0.3">
      <c r="B11" s="26" t="s">
        <v>40</v>
      </c>
    </row>
    <row r="12" spans="1:3" s="17" customFormat="1" ht="14.4" x14ac:dyDescent="0.3">
      <c r="B12" s="26" t="s">
        <v>26</v>
      </c>
    </row>
    <row r="13" spans="1:3" s="17" customFormat="1" ht="14.4" x14ac:dyDescent="0.3">
      <c r="B13" s="26" t="s">
        <v>38</v>
      </c>
    </row>
    <row r="14" spans="1:3" s="17" customFormat="1" ht="14.4" x14ac:dyDescent="0.3">
      <c r="B14" s="26" t="s">
        <v>39</v>
      </c>
    </row>
    <row r="15" spans="1:3" s="17" customFormat="1" ht="14.4" x14ac:dyDescent="0.3">
      <c r="B15" s="26" t="s">
        <v>27</v>
      </c>
    </row>
    <row r="16" spans="1:3" s="17" customFormat="1" ht="14.4" x14ac:dyDescent="0.3">
      <c r="B16" s="26" t="s">
        <v>28</v>
      </c>
    </row>
    <row r="17" spans="1:19" s="17" customFormat="1" ht="14.4" x14ac:dyDescent="0.3">
      <c r="B17" s="27" t="s">
        <v>25</v>
      </c>
    </row>
    <row r="18" spans="1:19" s="17" customFormat="1" ht="14.4" x14ac:dyDescent="0.3">
      <c r="B18" s="27"/>
    </row>
    <row r="19" spans="1:19" s="17" customFormat="1" ht="14.4" x14ac:dyDescent="0.3">
      <c r="A19" s="17" t="s">
        <v>46</v>
      </c>
      <c r="B19" s="27"/>
    </row>
    <row r="20" spans="1:19" s="17" customFormat="1" ht="14.4" x14ac:dyDescent="0.3">
      <c r="A20" s="17" t="s">
        <v>53</v>
      </c>
      <c r="B20" s="27"/>
    </row>
    <row r="21" spans="1:19" s="17" customFormat="1" ht="14.4" x14ac:dyDescent="0.3">
      <c r="B21" s="23"/>
    </row>
    <row r="22" spans="1:19" s="17" customFormat="1" ht="14.4" x14ac:dyDescent="0.3">
      <c r="A22" s="16" t="s">
        <v>16</v>
      </c>
      <c r="B22" s="24"/>
      <c r="C22" s="24"/>
    </row>
    <row r="23" spans="1:19" s="17" customFormat="1" ht="14.4" x14ac:dyDescent="0.3">
      <c r="A23" s="18"/>
    </row>
    <row r="24" spans="1:19" s="17" customFormat="1" ht="14.4" x14ac:dyDescent="0.3">
      <c r="A24" s="17" t="s">
        <v>41</v>
      </c>
    </row>
    <row r="25" spans="1:19" s="17" customFormat="1" ht="14.4" x14ac:dyDescent="0.3">
      <c r="A25" s="17" t="s">
        <v>48</v>
      </c>
    </row>
    <row r="26" spans="1:19" s="17" customFormat="1" ht="59.25" customHeight="1" x14ac:dyDescent="0.3">
      <c r="A26" s="36" t="s">
        <v>42</v>
      </c>
      <c r="B26" s="36"/>
      <c r="C26" s="36"/>
      <c r="D26" s="36"/>
      <c r="E26" s="36"/>
      <c r="F26" s="36"/>
      <c r="G26" s="36"/>
      <c r="I26" s="28"/>
      <c r="J26" s="28"/>
      <c r="K26" s="28"/>
      <c r="L26" s="28"/>
      <c r="M26" s="28"/>
      <c r="N26" s="28"/>
      <c r="O26" s="28"/>
      <c r="P26" s="28"/>
      <c r="Q26" s="28"/>
      <c r="R26" s="28"/>
      <c r="S26" s="28"/>
    </row>
    <row r="27" spans="1:19" s="17" customFormat="1" ht="14.4" x14ac:dyDescent="0.3">
      <c r="A27" s="17" t="s">
        <v>23</v>
      </c>
    </row>
    <row r="28" spans="1:19" s="17" customFormat="1" ht="14.4" x14ac:dyDescent="0.3">
      <c r="A28" s="17" t="s">
        <v>49</v>
      </c>
    </row>
    <row r="29" spans="1:19" s="17" customFormat="1" ht="14.4" x14ac:dyDescent="0.3"/>
    <row r="30" spans="1:19" s="17" customFormat="1" ht="14.4" x14ac:dyDescent="0.3">
      <c r="A30" s="16" t="s">
        <v>17</v>
      </c>
      <c r="B30" s="24"/>
      <c r="C30" s="24"/>
    </row>
    <row r="31" spans="1:19" s="17" customFormat="1" ht="14.4" x14ac:dyDescent="0.3"/>
    <row r="32" spans="1:19" s="17" customFormat="1" ht="14.4" x14ac:dyDescent="0.3">
      <c r="A32" s="17" t="s">
        <v>20</v>
      </c>
      <c r="B32" s="17" t="s">
        <v>36</v>
      </c>
    </row>
    <row r="33" spans="1:2" s="17" customFormat="1" ht="14.4" x14ac:dyDescent="0.3">
      <c r="A33" s="17" t="s">
        <v>2</v>
      </c>
      <c r="B33" s="17" t="s">
        <v>21</v>
      </c>
    </row>
    <row r="34" spans="1:2" s="17" customFormat="1" ht="14.4" x14ac:dyDescent="0.3">
      <c r="A34" s="17" t="s">
        <v>6</v>
      </c>
      <c r="B34" s="17" t="s">
        <v>22</v>
      </c>
    </row>
    <row r="35" spans="1:2" s="17" customFormat="1" ht="14.4" x14ac:dyDescent="0.3">
      <c r="A35" s="17" t="s">
        <v>44</v>
      </c>
      <c r="B35" s="17" t="s">
        <v>50</v>
      </c>
    </row>
    <row r="36" spans="1:2" ht="14.4" x14ac:dyDescent="0.3">
      <c r="A36" s="17"/>
      <c r="B36" s="17"/>
    </row>
  </sheetData>
  <mergeCells count="1">
    <mergeCell ref="A26:G26"/>
  </mergeCells>
  <phoneticPr fontId="2"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C2FA4749D13C4D8B63736A9D95688A" ma:contentTypeVersion="17" ma:contentTypeDescription="Create a new document." ma:contentTypeScope="" ma:versionID="578c655ecc84879846c98f19573eba7e">
  <xsd:schema xmlns:xsd="http://www.w3.org/2001/XMLSchema" xmlns:xs="http://www.w3.org/2001/XMLSchema" xmlns:p="http://schemas.microsoft.com/office/2006/metadata/properties" xmlns:ns2="11d857ff-f4c9-431c-b3f0-894cf5d81aa2" xmlns:ns3="924ddb61-764c-4703-9da6-ddf852dc8a22" targetNamespace="http://schemas.microsoft.com/office/2006/metadata/properties" ma:root="true" ma:fieldsID="e4057c1f2022873f23a3a8e83f192bb7" ns2:_="" ns3:_="">
    <xsd:import namespace="11d857ff-f4c9-431c-b3f0-894cf5d81aa2"/>
    <xsd:import namespace="924ddb61-764c-4703-9da6-ddf852dc8a2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Notes0"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DateTake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d857ff-f4c9-431c-b3f0-894cf5d81aa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1" nillable="true" ma:displayName="Taxonomy Catch All Column" ma:hidden="true" ma:list="{015fc1ea-0df6-4181-8ca9-e6627910bc6f}" ma:internalName="TaxCatchAll" ma:showField="CatchAllData" ma:web="11d857ff-f4c9-431c-b3f0-894cf5d81a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24ddb61-764c-4703-9da6-ddf852dc8a2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Notes0" ma:index="12" nillable="true" ma:displayName="Notes" ma:internalName="Notes0">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896de28-cb53-43b9-a38b-bef149b24309"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24ddb61-764c-4703-9da6-ddf852dc8a22">
      <Terms xmlns="http://schemas.microsoft.com/office/infopath/2007/PartnerControls"/>
    </lcf76f155ced4ddcb4097134ff3c332f>
    <Notes0 xmlns="924ddb61-764c-4703-9da6-ddf852dc8a22" xsi:nil="true"/>
    <TaxCatchAll xmlns="11d857ff-f4c9-431c-b3f0-894cf5d81aa2" xsi:nil="true"/>
  </documentManagement>
</p:properties>
</file>

<file path=customXml/itemProps1.xml><?xml version="1.0" encoding="utf-8"?>
<ds:datastoreItem xmlns:ds="http://schemas.openxmlformats.org/officeDocument/2006/customXml" ds:itemID="{6E4ED641-350D-4152-A2B0-472990F4E6F5}"/>
</file>

<file path=customXml/itemProps2.xml><?xml version="1.0" encoding="utf-8"?>
<ds:datastoreItem xmlns:ds="http://schemas.openxmlformats.org/officeDocument/2006/customXml" ds:itemID="{2D74EF01-907D-4B5A-BEDD-4684C96A0550}"/>
</file>

<file path=customXml/itemProps3.xml><?xml version="1.0" encoding="utf-8"?>
<ds:datastoreItem xmlns:ds="http://schemas.openxmlformats.org/officeDocument/2006/customXml" ds:itemID="{22904AC5-14D0-48DB-893B-09504D6B94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Data for Figure</vt:lpstr>
      <vt:lpstr>Original Data-Climate Watch</vt:lpstr>
      <vt:lpstr>Methods and Notes</vt:lpstr>
      <vt:lpstr>Figure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SdeJesus</dc:creator>
  <cp:lastModifiedBy>Sydney Merrill</cp:lastModifiedBy>
  <cp:lastPrinted>2009-03-12T23:36:00Z</cp:lastPrinted>
  <dcterms:created xsi:type="dcterms:W3CDTF">2009-01-27T00:48:30Z</dcterms:created>
  <dcterms:modified xsi:type="dcterms:W3CDTF">2024-11-27T16:53:43Z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0x01010055C2FA4749D13C4D8B63736A9D95688A</vt:lpwstr>
  </property>
</Properties>
</file>