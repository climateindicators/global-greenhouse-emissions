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defaultThemeVersion="124226"/>
  <mc:AlternateContent xmlns:mc="http://schemas.openxmlformats.org/markup-compatibility/2006">
    <mc:Choice Requires="x15">
      <x15ac:absPath xmlns:x15ac="http://schemas.microsoft.com/office/spreadsheetml/2010/11/ac" url="K:\PROJECTS\EPA\Climate_Indicators.Lamie.LEX\INDICATORS\Global GHG Emissions\data\"/>
    </mc:Choice>
  </mc:AlternateContent>
  <xr:revisionPtr revIDLastSave="0" documentId="13_ncr:1_{6D103DD6-A467-407C-900F-31EFE73485E7}" xr6:coauthVersionLast="47" xr6:coauthVersionMax="47" xr10:uidLastSave="{00000000-0000-0000-0000-000000000000}"/>
  <bookViews>
    <workbookView xWindow="-120" yWindow="-16320" windowWidth="29040" windowHeight="16440" xr2:uid="{00000000-000D-0000-FFFF-FFFF00000000}"/>
  </bookViews>
  <sheets>
    <sheet name="Figure 3" sheetId="3" r:id="rId1"/>
    <sheet name="Data for Figure" sheetId="11" r:id="rId2"/>
    <sheet name="Original Data-Climate Watch" sheetId="12" r:id="rId3"/>
    <sheet name="Methods and Notes" sheetId="4" r:id="rId4"/>
  </sheets>
  <definedNames>
    <definedName name="_xlnm._FilterDatabase" localSheetId="1" hidden="1">'Data for Figure'!$A$3:$AH$3</definedName>
    <definedName name="_xlnm._FilterDatabase" localSheetId="2" hidden="1">'Original Data-Climate Watch'!$A$1:$AE$1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 i="11" l="1"/>
  <c r="AG4" i="11"/>
  <c r="C18" i="12"/>
  <c r="D18" i="12"/>
  <c r="E18" i="12"/>
  <c r="F18" i="12"/>
  <c r="G18" i="12"/>
  <c r="H18" i="12"/>
  <c r="I18" i="12"/>
  <c r="J18" i="12"/>
  <c r="K18" i="12"/>
  <c r="J12" i="11" s="1"/>
  <c r="L18" i="12"/>
  <c r="M18" i="12"/>
  <c r="N18" i="12"/>
  <c r="O18" i="12"/>
  <c r="P18" i="12"/>
  <c r="Q18" i="12"/>
  <c r="R18" i="12"/>
  <c r="S18" i="12"/>
  <c r="R12" i="11" s="1"/>
  <c r="T18" i="12"/>
  <c r="U18" i="12"/>
  <c r="V18" i="12"/>
  <c r="W18" i="12"/>
  <c r="X18" i="12"/>
  <c r="Y18" i="12"/>
  <c r="Z18" i="12"/>
  <c r="AA18" i="12"/>
  <c r="Z12" i="11" s="1"/>
  <c r="AB18" i="12"/>
  <c r="AC18" i="12"/>
  <c r="AD18" i="12"/>
  <c r="AE18" i="12"/>
  <c r="AF18" i="12"/>
  <c r="AG18" i="12"/>
  <c r="AF12" i="11" s="1"/>
  <c r="AH18" i="12"/>
  <c r="B12" i="11"/>
  <c r="AG5" i="11"/>
  <c r="AG6" i="11"/>
  <c r="AG8" i="11"/>
  <c r="AG7" i="11"/>
  <c r="AG9" i="11"/>
  <c r="AG10" i="11"/>
  <c r="AG11" i="11"/>
  <c r="AG12" i="11"/>
  <c r="AE4" i="11"/>
  <c r="AF4" i="11"/>
  <c r="AE5" i="11"/>
  <c r="AF5" i="11"/>
  <c r="AE6" i="11"/>
  <c r="AF6" i="11"/>
  <c r="AE7" i="11"/>
  <c r="AF7" i="11"/>
  <c r="AE8" i="11"/>
  <c r="AF8" i="11"/>
  <c r="AE9" i="11"/>
  <c r="AF9" i="11"/>
  <c r="AE10" i="11"/>
  <c r="AF10" i="11"/>
  <c r="AE11" i="11"/>
  <c r="AF11" i="11"/>
  <c r="AD4" i="11"/>
  <c r="AD12" i="11"/>
  <c r="AE12" i="11"/>
  <c r="AD6" i="11"/>
  <c r="AD7" i="11"/>
  <c r="AD8" i="11"/>
  <c r="AD9" i="11"/>
  <c r="AD10" i="11"/>
  <c r="AD11" i="11"/>
  <c r="AD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B4" i="11"/>
  <c r="AC12" i="11"/>
  <c r="C12" i="11"/>
  <c r="D12" i="11"/>
  <c r="E12" i="11"/>
  <c r="F12" i="11"/>
  <c r="G12" i="11"/>
  <c r="H12" i="11"/>
  <c r="I12" i="11"/>
  <c r="K12" i="11"/>
  <c r="L12" i="11"/>
  <c r="M12" i="11"/>
  <c r="N12" i="11"/>
  <c r="O12" i="11"/>
  <c r="P12" i="11"/>
  <c r="Q12" i="11"/>
  <c r="S12" i="11"/>
  <c r="T12" i="11"/>
  <c r="U12" i="11"/>
  <c r="V12" i="11"/>
  <c r="W12" i="11"/>
  <c r="X12" i="11"/>
  <c r="Y12" i="11"/>
  <c r="AA12" i="11"/>
  <c r="AB12" i="11"/>
  <c r="AH12" i="11" l="1"/>
  <c r="AH10" i="11"/>
  <c r="AH7" i="11"/>
  <c r="AH8" i="11"/>
  <c r="AH6" i="11"/>
  <c r="AH11" i="11"/>
  <c r="AH9" i="11"/>
  <c r="AH5" i="11"/>
  <c r="AH13" i="11" l="1"/>
</calcChain>
</file>

<file path=xl/sharedStrings.xml><?xml version="1.0" encoding="utf-8"?>
<sst xmlns="http://schemas.openxmlformats.org/spreadsheetml/2006/main" count="73" uniqueCount="46">
  <si>
    <t>Gross total emissions excluding LUCF and including bunker fuel emissions</t>
  </si>
  <si>
    <t>2021 percentages</t>
  </si>
  <si>
    <t>East Asia and Pacific</t>
  </si>
  <si>
    <t>Europe and Central Asia</t>
  </si>
  <si>
    <t>United States</t>
  </si>
  <si>
    <t>South Asia</t>
  </si>
  <si>
    <t>Middle East and North Africa</t>
  </si>
  <si>
    <t>Latin America and Caribbean</t>
  </si>
  <si>
    <t>Sub-Saharan Africa</t>
  </si>
  <si>
    <t>Canada</t>
  </si>
  <si>
    <t>Other</t>
  </si>
  <si>
    <t>Country/Region</t>
  </si>
  <si>
    <t>unit</t>
  </si>
  <si>
    <t>MtCO2e</t>
  </si>
  <si>
    <t>Data source</t>
  </si>
  <si>
    <t>CAIT</t>
  </si>
  <si>
    <t>World</t>
  </si>
  <si>
    <t>Climate Watch</t>
  </si>
  <si>
    <t>EPA Calculated</t>
  </si>
  <si>
    <t>"Other" Region</t>
  </si>
  <si>
    <t>Methods and Notes</t>
  </si>
  <si>
    <t>GENERAL NOTES</t>
  </si>
  <si>
    <t>- Data last obtained by ERG on November 22, 2024.</t>
  </si>
  <si>
    <t>- Plot is of total gross CO2 emissions only (i.e., excluding LUCF) and includes emissions from bunker fuels. Reason for only including CO2 data is that CO2 data is reported in an annual time series. Non-CO2 data comes from EPA and is reported in 5-year intervals.</t>
  </si>
  <si>
    <t>OBTAIN DATA</t>
  </si>
  <si>
    <t>ERG downloaded the data from Climate Watch, "Historical GHG Emissions" (https://www.climatewatchdata.org/ghg-emissions). We used the following settings:</t>
  </si>
  <si>
    <t>Drop-down menu options for obtaining data confirmed by WRI.</t>
  </si>
  <si>
    <t>CO2 data excluding LUCF</t>
  </si>
  <si>
    <t>- Data Source: Climate Watch</t>
  </si>
  <si>
    <t>- Countries/Regions: East Asia and Pacific, Europe and Central Asia, Latin America and Caribbean, Middle East and North Africa, South Asia, Sub-Saharan Africa, Canada, United States</t>
  </si>
  <si>
    <t>- Sectors/Subsectors: TOTAL EMISSION, Total excluding LUCF; SECTOR &amp; SUB-SECTOR, Bunker Fuels</t>
  </si>
  <si>
    <t>- Gases: CO2</t>
  </si>
  <si>
    <t>- Calculations: Total</t>
  </si>
  <si>
    <t>- Show Data by: Regions</t>
  </si>
  <si>
    <t>- Chart Type: Stacked Area Chart</t>
  </si>
  <si>
    <t>As stated in Climate Watch's FAQ (https://www.climatewatchdata.org/about/faq/ghg), the sum of all countries’ emissions data available in Climate Watch dataset will not be the same as the World total (excluding LUCF) for two reasons: (1) International bunker fuel related emissions are not included in the country-level totals following the IPCC methodology, and (2) the Climate Watch dataset only covers 190+ countries (all of which are parties to the UNFCCC), leaving out other territories that could also be releasing anthropogenic emissions data.</t>
  </si>
  <si>
    <t>Therefore, ERG uses a top-down approach to add an "Other" region that accounts for emissions from countries not accounted for in the regions (approach confirmed by WRI).</t>
  </si>
  <si>
    <t>This requires also downloading  "WORLD" CO2 data using the following query (note: "WORLD" includes bunker fuel emissions):</t>
  </si>
  <si>
    <t>- Countries/Regions: WORLD</t>
  </si>
  <si>
    <t>- Sectors/Subsectors: TOTAL EMISSION, Total excluding LUCF</t>
  </si>
  <si>
    <t>PROCESSING STEPS</t>
  </si>
  <si>
    <t>1) Access data according to "Obtain Data" instructions above, and copy into "Original Data-Climate Watch" worksheet.</t>
  </si>
  <si>
    <t>2) Determine value for the region "Other" by subtracting Regional data from WORLD data (orange, "EPA Calculated" rows).</t>
  </si>
  <si>
    <t>3) Copy data into "Data for Figure" worksheet and calculate percentages for the most recent year (2021) at end of data series (highlighted in green).</t>
  </si>
  <si>
    <t>4) Sort data from largest to smallest in most recent year</t>
  </si>
  <si>
    <t>5) Plot the figure as a shaded area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</si>
</sst>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0"/>
      <name val="Arial"/>
    </font>
    <font>
      <sz val="11"/>
      <name val="Calibri"/>
      <family val="2"/>
    </font>
    <font>
      <sz val="11"/>
      <color theme="1"/>
      <name val="Calibri"/>
      <family val="2"/>
      <scheme val="minor"/>
    </font>
    <font>
      <sz val="11"/>
      <color theme="1"/>
      <name val="Calibri"/>
      <family val="2"/>
      <scheme val="minor"/>
    </font>
    <font>
      <sz val="8"/>
      <name val="Arial"/>
      <family val="2"/>
    </font>
    <font>
      <sz val="10"/>
      <name val="Arial"/>
      <family val="2"/>
    </font>
    <font>
      <b/>
      <sz val="11"/>
      <color theme="0"/>
      <name val="Calibri"/>
      <family val="2"/>
      <scheme val="minor"/>
    </font>
    <font>
      <sz val="10"/>
      <color indexed="8"/>
      <name val="Arial"/>
      <family val="2"/>
    </font>
    <font>
      <u/>
      <sz val="10"/>
      <color theme="10"/>
      <name val="Arial"/>
      <family val="2"/>
    </font>
    <font>
      <b/>
      <sz val="14"/>
      <color theme="1"/>
      <name val="Calibri"/>
      <family val="2"/>
      <scheme val="minor"/>
    </font>
    <font>
      <sz val="11"/>
      <name val="Calibri"/>
      <family val="2"/>
      <scheme val="minor"/>
    </font>
    <font>
      <b/>
      <sz val="11"/>
      <name val="Calibri"/>
      <family val="2"/>
      <scheme val="minor"/>
    </font>
    <font>
      <sz val="10"/>
      <color theme="1"/>
      <name val="Candara"/>
      <family val="2"/>
    </font>
    <font>
      <sz val="10"/>
      <color theme="1"/>
      <name val="Arial"/>
      <family val="2"/>
    </font>
  </fonts>
  <fills count="5">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9" tint="0.59999389629810485"/>
        <bgColor indexed="64"/>
      </patternFill>
    </fill>
  </fills>
  <borders count="1">
    <border>
      <left/>
      <right/>
      <top/>
      <bottom/>
      <diagonal/>
    </border>
  </borders>
  <cellStyleXfs count="15">
    <xf numFmtId="0" fontId="0" fillId="0" borderId="0"/>
    <xf numFmtId="0" fontId="3" fillId="0" borderId="0"/>
    <xf numFmtId="43" fontId="7" fillId="0" borderId="0" applyFont="0" applyFill="0" applyBorder="0" applyAlignment="0" applyProtection="0"/>
    <xf numFmtId="43" fontId="5" fillId="0" borderId="0" applyFont="0" applyFill="0" applyBorder="0" applyAlignment="0" applyProtection="0"/>
    <xf numFmtId="0" fontId="8" fillId="0" borderId="0" applyNumberFormat="0" applyFill="0" applyBorder="0" applyAlignment="0" applyProtection="0">
      <alignment vertical="top"/>
      <protection locked="0"/>
    </xf>
    <xf numFmtId="0" fontId="5" fillId="0" borderId="0"/>
    <xf numFmtId="0" fontId="5" fillId="0" borderId="0"/>
    <xf numFmtId="0" fontId="5" fillId="0" borderId="0"/>
    <xf numFmtId="9" fontId="5" fillId="0" borderId="0" applyFont="0" applyFill="0" applyBorder="0" applyAlignment="0" applyProtection="0"/>
    <xf numFmtId="0" fontId="12" fillId="0" borderId="0"/>
    <xf numFmtId="0" fontId="3" fillId="0" borderId="0"/>
    <xf numFmtId="0" fontId="13" fillId="0" borderId="0"/>
    <xf numFmtId="43" fontId="3" fillId="0" borderId="0" applyFont="0" applyFill="0" applyBorder="0" applyAlignment="0" applyProtection="0"/>
    <xf numFmtId="0" fontId="5" fillId="0" borderId="0"/>
    <xf numFmtId="0" fontId="2" fillId="0" borderId="0"/>
  </cellStyleXfs>
  <cellXfs count="14">
    <xf numFmtId="0" fontId="0" fillId="0" borderId="0" xfId="0"/>
    <xf numFmtId="0" fontId="9" fillId="0" borderId="0" xfId="0" applyFont="1"/>
    <xf numFmtId="0" fontId="6" fillId="2" borderId="0" xfId="0" applyFont="1" applyFill="1"/>
    <xf numFmtId="0" fontId="0" fillId="2" borderId="0" xfId="0" applyFill="1"/>
    <xf numFmtId="0" fontId="10" fillId="0" borderId="0" xfId="0" applyFont="1"/>
    <xf numFmtId="0" fontId="11" fillId="0" borderId="0" xfId="0" applyFont="1" applyAlignment="1">
      <alignment horizontal="left" vertical="top"/>
    </xf>
    <xf numFmtId="0" fontId="10" fillId="0" borderId="0" xfId="0" quotePrefix="1" applyFont="1"/>
    <xf numFmtId="10" fontId="0" fillId="3" borderId="0" xfId="0" applyNumberFormat="1" applyFill="1"/>
    <xf numFmtId="0" fontId="5" fillId="3" borderId="0" xfId="0" applyFont="1" applyFill="1"/>
    <xf numFmtId="0" fontId="1" fillId="0" borderId="0" xfId="0" quotePrefix="1" applyFont="1" applyAlignment="1">
      <alignment vertical="center"/>
    </xf>
    <xf numFmtId="0" fontId="5" fillId="0" borderId="0" xfId="0" applyFont="1"/>
    <xf numFmtId="0" fontId="5" fillId="4" borderId="0" xfId="0" applyFont="1" applyFill="1"/>
    <xf numFmtId="0" fontId="0" fillId="4" borderId="0" xfId="0" applyFill="1"/>
    <xf numFmtId="0" fontId="1" fillId="0" borderId="0" xfId="0" quotePrefix="1" applyFont="1"/>
  </cellXfs>
  <cellStyles count="15">
    <cellStyle name="Comma 2" xfId="2" xr:uid="{00000000-0005-0000-0000-000001000000}"/>
    <cellStyle name="Comma 3" xfId="3" xr:uid="{00000000-0005-0000-0000-000002000000}"/>
    <cellStyle name="Comma 4" xfId="12" xr:uid="{00000000-0005-0000-0000-000003000000}"/>
    <cellStyle name="Hyperlink 2" xfId="4" xr:uid="{00000000-0005-0000-0000-000004000000}"/>
    <cellStyle name="Normal" xfId="0" builtinId="0"/>
    <cellStyle name="Normal 2" xfId="1" xr:uid="{00000000-0005-0000-0000-000006000000}"/>
    <cellStyle name="Normal 2 2" xfId="11" xr:uid="{00000000-0005-0000-0000-000007000000}"/>
    <cellStyle name="Normal 2 3" xfId="9" xr:uid="{00000000-0005-0000-0000-000008000000}"/>
    <cellStyle name="Normal 3" xfId="5" xr:uid="{00000000-0005-0000-0000-000009000000}"/>
    <cellStyle name="Normal 4" xfId="6" xr:uid="{00000000-0005-0000-0000-00000A000000}"/>
    <cellStyle name="Normal 5" xfId="7" xr:uid="{00000000-0005-0000-0000-00000B000000}"/>
    <cellStyle name="Normal 6" xfId="10" xr:uid="{00000000-0005-0000-0000-00000C000000}"/>
    <cellStyle name="Normal 7" xfId="13" xr:uid="{00000000-0005-0000-0000-00000D000000}"/>
    <cellStyle name="Normal 8" xfId="14" xr:uid="{C85D3024-30BB-4A96-8474-CC81456EFDD5}"/>
    <cellStyle name="Percent 2" xfId="8"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3. Global Carbon</a:t>
            </a:r>
            <a:r>
              <a:rPr lang="en-US" baseline="0"/>
              <a:t> Dioxide</a:t>
            </a:r>
            <a:r>
              <a:rPr lang="en-US"/>
              <a:t> Emissions by Region, 1990–2021</a:t>
            </a:r>
          </a:p>
        </c:rich>
      </c:tx>
      <c:layout>
        <c:manualLayout>
          <c:xMode val="edge"/>
          <c:yMode val="edge"/>
          <c:x val="0.13207547169811318"/>
          <c:y val="1.9575856443719498E-2"/>
        </c:manualLayout>
      </c:layout>
      <c:overlay val="0"/>
      <c:spPr>
        <a:noFill/>
        <a:ln w="25400">
          <a:noFill/>
        </a:ln>
      </c:spPr>
    </c:title>
    <c:autoTitleDeleted val="0"/>
    <c:plotArea>
      <c:layout>
        <c:manualLayout>
          <c:layoutTarget val="inner"/>
          <c:xMode val="edge"/>
          <c:yMode val="edge"/>
          <c:x val="0.11542730299667039"/>
          <c:y val="0.14029363784665591"/>
          <c:w val="0.83663445877189946"/>
          <c:h val="0.7368134855899946"/>
        </c:manualLayout>
      </c:layout>
      <c:areaChart>
        <c:grouping val="stacked"/>
        <c:varyColors val="0"/>
        <c:ser>
          <c:idx val="0"/>
          <c:order val="0"/>
          <c:tx>
            <c:strRef>
              <c:f>'Data for Figure'!$A$4</c:f>
              <c:strCache>
                <c:ptCount val="1"/>
                <c:pt idx="0">
                  <c:v>East Asia and Pacific</c:v>
                </c:pt>
              </c:strCache>
            </c:strRef>
          </c:tx>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Figure'!$B$4:$AG$4</c:f>
              <c:numCache>
                <c:formatCode>General</c:formatCode>
                <c:ptCount val="32"/>
                <c:pt idx="0">
                  <c:v>4426.3999999999996</c:v>
                </c:pt>
                <c:pt idx="1">
                  <c:v>4630.04</c:v>
                </c:pt>
                <c:pt idx="2">
                  <c:v>4815.25</c:v>
                </c:pt>
                <c:pt idx="3">
                  <c:v>5110.92</c:v>
                </c:pt>
                <c:pt idx="4">
                  <c:v>5368.38</c:v>
                </c:pt>
                <c:pt idx="5">
                  <c:v>5806.44</c:v>
                </c:pt>
                <c:pt idx="6">
                  <c:v>5891.62</c:v>
                </c:pt>
                <c:pt idx="7">
                  <c:v>6037.38</c:v>
                </c:pt>
                <c:pt idx="8">
                  <c:v>6036.46</c:v>
                </c:pt>
                <c:pt idx="9">
                  <c:v>6084.26</c:v>
                </c:pt>
                <c:pt idx="10">
                  <c:v>6374.74</c:v>
                </c:pt>
                <c:pt idx="11">
                  <c:v>6610.15</c:v>
                </c:pt>
                <c:pt idx="12">
                  <c:v>6957.2</c:v>
                </c:pt>
                <c:pt idx="13">
                  <c:v>7652.26</c:v>
                </c:pt>
                <c:pt idx="14">
                  <c:v>8450.7999999999993</c:v>
                </c:pt>
                <c:pt idx="15">
                  <c:v>9220.8799999999992</c:v>
                </c:pt>
                <c:pt idx="16">
                  <c:v>9871.5</c:v>
                </c:pt>
                <c:pt idx="17">
                  <c:v>10542.35</c:v>
                </c:pt>
                <c:pt idx="18">
                  <c:v>10733.81</c:v>
                </c:pt>
                <c:pt idx="19">
                  <c:v>11209.92</c:v>
                </c:pt>
                <c:pt idx="20">
                  <c:v>12188.34</c:v>
                </c:pt>
                <c:pt idx="21">
                  <c:v>13136.87</c:v>
                </c:pt>
                <c:pt idx="22">
                  <c:v>13473.12</c:v>
                </c:pt>
                <c:pt idx="23">
                  <c:v>13928.4</c:v>
                </c:pt>
                <c:pt idx="24">
                  <c:v>13963.94</c:v>
                </c:pt>
                <c:pt idx="25">
                  <c:v>13859.23</c:v>
                </c:pt>
                <c:pt idx="26">
                  <c:v>13937.62</c:v>
                </c:pt>
                <c:pt idx="27">
                  <c:v>14266.91</c:v>
                </c:pt>
                <c:pt idx="28">
                  <c:v>14838.22</c:v>
                </c:pt>
                <c:pt idx="29">
                  <c:v>15117.02</c:v>
                </c:pt>
                <c:pt idx="30">
                  <c:v>14999.59</c:v>
                </c:pt>
                <c:pt idx="31">
                  <c:v>15603.66</c:v>
                </c:pt>
              </c:numCache>
            </c:numRef>
          </c:val>
          <c:extLst>
            <c:ext xmlns:c16="http://schemas.microsoft.com/office/drawing/2014/chart" uri="{C3380CC4-5D6E-409C-BE32-E72D297353CC}">
              <c16:uniqueId val="{00000000-6A72-4752-AFD0-62BBAEE3192E}"/>
            </c:ext>
          </c:extLst>
        </c:ser>
        <c:ser>
          <c:idx val="1"/>
          <c:order val="1"/>
          <c:tx>
            <c:strRef>
              <c:f>'Data for Figure'!$A$5</c:f>
              <c:strCache>
                <c:ptCount val="1"/>
                <c:pt idx="0">
                  <c:v>Europe and Central Asia</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Figure'!$B$5:$AG$5</c:f>
              <c:numCache>
                <c:formatCode>General</c:formatCode>
                <c:ptCount val="32"/>
                <c:pt idx="0">
                  <c:v>8207.44</c:v>
                </c:pt>
                <c:pt idx="1">
                  <c:v>8073.82</c:v>
                </c:pt>
                <c:pt idx="2">
                  <c:v>7725.79</c:v>
                </c:pt>
                <c:pt idx="3">
                  <c:v>7333.09</c:v>
                </c:pt>
                <c:pt idx="4">
                  <c:v>6959.98</c:v>
                </c:pt>
                <c:pt idx="5">
                  <c:v>6913.48</c:v>
                </c:pt>
                <c:pt idx="6">
                  <c:v>6951.51</c:v>
                </c:pt>
                <c:pt idx="7">
                  <c:v>6739.2</c:v>
                </c:pt>
                <c:pt idx="8">
                  <c:v>6747.17</c:v>
                </c:pt>
                <c:pt idx="9">
                  <c:v>6691.5</c:v>
                </c:pt>
                <c:pt idx="10">
                  <c:v>6782.77</c:v>
                </c:pt>
                <c:pt idx="11">
                  <c:v>6842.97</c:v>
                </c:pt>
                <c:pt idx="12">
                  <c:v>6857.73</c:v>
                </c:pt>
                <c:pt idx="13">
                  <c:v>7073.58</c:v>
                </c:pt>
                <c:pt idx="14">
                  <c:v>7096.37</c:v>
                </c:pt>
                <c:pt idx="15">
                  <c:v>7104.33</c:v>
                </c:pt>
                <c:pt idx="16">
                  <c:v>7241.45</c:v>
                </c:pt>
                <c:pt idx="17">
                  <c:v>7252.04</c:v>
                </c:pt>
                <c:pt idx="18">
                  <c:v>7205.37</c:v>
                </c:pt>
                <c:pt idx="19">
                  <c:v>6657.9</c:v>
                </c:pt>
                <c:pt idx="20">
                  <c:v>6902.75</c:v>
                </c:pt>
                <c:pt idx="21">
                  <c:v>6924.77</c:v>
                </c:pt>
                <c:pt idx="22">
                  <c:v>6838.15</c:v>
                </c:pt>
                <c:pt idx="23">
                  <c:v>6705.18</c:v>
                </c:pt>
                <c:pt idx="24">
                  <c:v>6452.04</c:v>
                </c:pt>
                <c:pt idx="25">
                  <c:v>6422.7</c:v>
                </c:pt>
                <c:pt idx="26">
                  <c:v>6446.42</c:v>
                </c:pt>
                <c:pt idx="27">
                  <c:v>6529.59</c:v>
                </c:pt>
                <c:pt idx="28">
                  <c:v>6552.97</c:v>
                </c:pt>
                <c:pt idx="29">
                  <c:v>6409.67</c:v>
                </c:pt>
                <c:pt idx="30">
                  <c:v>5887.38</c:v>
                </c:pt>
                <c:pt idx="31">
                  <c:v>6303.91</c:v>
                </c:pt>
              </c:numCache>
            </c:numRef>
          </c:val>
          <c:extLst>
            <c:ext xmlns:c16="http://schemas.microsoft.com/office/drawing/2014/chart" uri="{C3380CC4-5D6E-409C-BE32-E72D297353CC}">
              <c16:uniqueId val="{00000001-6A72-4752-AFD0-62BBAEE3192E}"/>
            </c:ext>
          </c:extLst>
        </c:ser>
        <c:ser>
          <c:idx val="2"/>
          <c:order val="2"/>
          <c:tx>
            <c:strRef>
              <c:f>'Data for Figure'!$A$6</c:f>
              <c:strCache>
                <c:ptCount val="1"/>
                <c:pt idx="0">
                  <c:v>United States</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Figure'!$B$6:$AG$6</c:f>
              <c:numCache>
                <c:formatCode>General</c:formatCode>
                <c:ptCount val="32"/>
                <c:pt idx="0">
                  <c:v>4975.18</c:v>
                </c:pt>
                <c:pt idx="1">
                  <c:v>4944.41</c:v>
                </c:pt>
                <c:pt idx="2">
                  <c:v>5023.4399999999996</c:v>
                </c:pt>
                <c:pt idx="3">
                  <c:v>5127.53</c:v>
                </c:pt>
                <c:pt idx="4">
                  <c:v>5196.84</c:v>
                </c:pt>
                <c:pt idx="5">
                  <c:v>5254.81</c:v>
                </c:pt>
                <c:pt idx="6">
                  <c:v>5408</c:v>
                </c:pt>
                <c:pt idx="7">
                  <c:v>5669.96</c:v>
                </c:pt>
                <c:pt idx="8">
                  <c:v>5716.91</c:v>
                </c:pt>
                <c:pt idx="9">
                  <c:v>5749.42</c:v>
                </c:pt>
                <c:pt idx="10">
                  <c:v>5923.25</c:v>
                </c:pt>
                <c:pt idx="11">
                  <c:v>5862.46</c:v>
                </c:pt>
                <c:pt idx="12">
                  <c:v>5731.77</c:v>
                </c:pt>
                <c:pt idx="13">
                  <c:v>5781.98</c:v>
                </c:pt>
                <c:pt idx="14">
                  <c:v>5879.45</c:v>
                </c:pt>
                <c:pt idx="15">
                  <c:v>5904.93</c:v>
                </c:pt>
                <c:pt idx="16">
                  <c:v>5811.32</c:v>
                </c:pt>
                <c:pt idx="17">
                  <c:v>5904.33</c:v>
                </c:pt>
                <c:pt idx="18">
                  <c:v>5712.39</c:v>
                </c:pt>
                <c:pt idx="19">
                  <c:v>5297.45</c:v>
                </c:pt>
                <c:pt idx="20">
                  <c:v>5540.76</c:v>
                </c:pt>
                <c:pt idx="21">
                  <c:v>5318.98</c:v>
                </c:pt>
                <c:pt idx="22">
                  <c:v>5075.1099999999997</c:v>
                </c:pt>
                <c:pt idx="23">
                  <c:v>5210.1000000000004</c:v>
                </c:pt>
                <c:pt idx="24">
                  <c:v>5225.76</c:v>
                </c:pt>
                <c:pt idx="25">
                  <c:v>5114.76</c:v>
                </c:pt>
                <c:pt idx="26">
                  <c:v>5031.03</c:v>
                </c:pt>
                <c:pt idx="27">
                  <c:v>4967.24</c:v>
                </c:pt>
                <c:pt idx="28">
                  <c:v>5114.79</c:v>
                </c:pt>
                <c:pt idx="29">
                  <c:v>4966.2299999999996</c:v>
                </c:pt>
                <c:pt idx="30">
                  <c:v>4416.1499999999996</c:v>
                </c:pt>
                <c:pt idx="31">
                  <c:v>4722.2299999999996</c:v>
                </c:pt>
              </c:numCache>
            </c:numRef>
          </c:val>
          <c:extLst>
            <c:ext xmlns:c16="http://schemas.microsoft.com/office/drawing/2014/chart" uri="{C3380CC4-5D6E-409C-BE32-E72D297353CC}">
              <c16:uniqueId val="{00000002-6A72-4752-AFD0-62BBAEE3192E}"/>
            </c:ext>
          </c:extLst>
        </c:ser>
        <c:ser>
          <c:idx val="3"/>
          <c:order val="3"/>
          <c:tx>
            <c:strRef>
              <c:f>'Data for Figure'!$A$7</c:f>
              <c:strCache>
                <c:ptCount val="1"/>
                <c:pt idx="0">
                  <c:v>South Asia</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Figure'!$B$7:$AG$7</c:f>
              <c:numCache>
                <c:formatCode>General</c:formatCode>
                <c:ptCount val="32"/>
                <c:pt idx="0">
                  <c:v>649.29999999999995</c:v>
                </c:pt>
                <c:pt idx="1">
                  <c:v>693.41</c:v>
                </c:pt>
                <c:pt idx="2">
                  <c:v>721.47</c:v>
                </c:pt>
                <c:pt idx="3">
                  <c:v>754.82</c:v>
                </c:pt>
                <c:pt idx="4">
                  <c:v>794.4</c:v>
                </c:pt>
                <c:pt idx="5">
                  <c:v>856.69</c:v>
                </c:pt>
                <c:pt idx="6">
                  <c:v>899.18</c:v>
                </c:pt>
                <c:pt idx="7">
                  <c:v>950.01</c:v>
                </c:pt>
                <c:pt idx="8">
                  <c:v>969.12</c:v>
                </c:pt>
                <c:pt idx="9">
                  <c:v>1045.6099999999999</c:v>
                </c:pt>
                <c:pt idx="10">
                  <c:v>1083.98</c:v>
                </c:pt>
                <c:pt idx="11">
                  <c:v>1106.29</c:v>
                </c:pt>
                <c:pt idx="12">
                  <c:v>1143.26</c:v>
                </c:pt>
                <c:pt idx="13">
                  <c:v>1176.05</c:v>
                </c:pt>
                <c:pt idx="14">
                  <c:v>1265.9000000000001</c:v>
                </c:pt>
                <c:pt idx="15">
                  <c:v>1326.04</c:v>
                </c:pt>
                <c:pt idx="16">
                  <c:v>1418.46</c:v>
                </c:pt>
                <c:pt idx="17">
                  <c:v>1558.33</c:v>
                </c:pt>
                <c:pt idx="18">
                  <c:v>1645.63</c:v>
                </c:pt>
                <c:pt idx="19">
                  <c:v>1797.6</c:v>
                </c:pt>
                <c:pt idx="20">
                  <c:v>1897.86</c:v>
                </c:pt>
                <c:pt idx="21">
                  <c:v>2008.42</c:v>
                </c:pt>
                <c:pt idx="22">
                  <c:v>2167.88</c:v>
                </c:pt>
                <c:pt idx="23">
                  <c:v>2232.96</c:v>
                </c:pt>
                <c:pt idx="24">
                  <c:v>2425.0100000000002</c:v>
                </c:pt>
                <c:pt idx="25">
                  <c:v>2455.19</c:v>
                </c:pt>
                <c:pt idx="26">
                  <c:v>2527.2600000000002</c:v>
                </c:pt>
                <c:pt idx="27">
                  <c:v>2669.15</c:v>
                </c:pt>
                <c:pt idx="28">
                  <c:v>2812.05</c:v>
                </c:pt>
                <c:pt idx="29">
                  <c:v>2777.28</c:v>
                </c:pt>
                <c:pt idx="30">
                  <c:v>2562.92</c:v>
                </c:pt>
                <c:pt idx="31">
                  <c:v>2822.56</c:v>
                </c:pt>
              </c:numCache>
            </c:numRef>
          </c:val>
          <c:extLst>
            <c:ext xmlns:c16="http://schemas.microsoft.com/office/drawing/2014/chart" uri="{C3380CC4-5D6E-409C-BE32-E72D297353CC}">
              <c16:uniqueId val="{00000003-6A72-4752-AFD0-62BBAEE3192E}"/>
            </c:ext>
          </c:extLst>
        </c:ser>
        <c:ser>
          <c:idx val="4"/>
          <c:order val="4"/>
          <c:tx>
            <c:strRef>
              <c:f>'Data for Figure'!$A$8</c:f>
              <c:strCache>
                <c:ptCount val="1"/>
                <c:pt idx="0">
                  <c:v>Middle East and North Africa</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Figure'!$B$8:$AG$8</c:f>
              <c:numCache>
                <c:formatCode>General</c:formatCode>
                <c:ptCount val="32"/>
                <c:pt idx="0">
                  <c:v>929.09</c:v>
                </c:pt>
                <c:pt idx="1">
                  <c:v>964.63</c:v>
                </c:pt>
                <c:pt idx="2">
                  <c:v>1038.0999999999999</c:v>
                </c:pt>
                <c:pt idx="3">
                  <c:v>1101.78</c:v>
                </c:pt>
                <c:pt idx="4">
                  <c:v>1183.9100000000001</c:v>
                </c:pt>
                <c:pt idx="5">
                  <c:v>1216.57</c:v>
                </c:pt>
                <c:pt idx="6">
                  <c:v>1256.58</c:v>
                </c:pt>
                <c:pt idx="7">
                  <c:v>1314.25</c:v>
                </c:pt>
                <c:pt idx="8">
                  <c:v>1316.38</c:v>
                </c:pt>
                <c:pt idx="9">
                  <c:v>1362.22</c:v>
                </c:pt>
                <c:pt idx="10">
                  <c:v>1423.33</c:v>
                </c:pt>
                <c:pt idx="11">
                  <c:v>1484.84</c:v>
                </c:pt>
                <c:pt idx="12">
                  <c:v>1536.84</c:v>
                </c:pt>
                <c:pt idx="13">
                  <c:v>1598.28</c:v>
                </c:pt>
                <c:pt idx="14">
                  <c:v>1686.27</c:v>
                </c:pt>
                <c:pt idx="15">
                  <c:v>1791.13</c:v>
                </c:pt>
                <c:pt idx="16">
                  <c:v>1895.51</c:v>
                </c:pt>
                <c:pt idx="17">
                  <c:v>1985.68</c:v>
                </c:pt>
                <c:pt idx="18">
                  <c:v>2107.1</c:v>
                </c:pt>
                <c:pt idx="19">
                  <c:v>2163.19</c:v>
                </c:pt>
                <c:pt idx="20">
                  <c:v>2261.4299999999998</c:v>
                </c:pt>
                <c:pt idx="21">
                  <c:v>2309.39</c:v>
                </c:pt>
                <c:pt idx="22">
                  <c:v>2429.86</c:v>
                </c:pt>
                <c:pt idx="23">
                  <c:v>2481.1799999999998</c:v>
                </c:pt>
                <c:pt idx="24">
                  <c:v>2563.77</c:v>
                </c:pt>
                <c:pt idx="25">
                  <c:v>2613.89</c:v>
                </c:pt>
                <c:pt idx="26">
                  <c:v>2640.02</c:v>
                </c:pt>
                <c:pt idx="27">
                  <c:v>2673.94</c:v>
                </c:pt>
                <c:pt idx="28">
                  <c:v>2653.62</c:v>
                </c:pt>
                <c:pt idx="29">
                  <c:v>2713.79</c:v>
                </c:pt>
                <c:pt idx="30">
                  <c:v>2597.7800000000002</c:v>
                </c:pt>
                <c:pt idx="31">
                  <c:v>2716.32</c:v>
                </c:pt>
              </c:numCache>
            </c:numRef>
          </c:val>
          <c:extLst>
            <c:ext xmlns:c16="http://schemas.microsoft.com/office/drawing/2014/chart" uri="{C3380CC4-5D6E-409C-BE32-E72D297353CC}">
              <c16:uniqueId val="{00000004-6A72-4752-AFD0-62BBAEE3192E}"/>
            </c:ext>
          </c:extLst>
        </c:ser>
        <c:ser>
          <c:idx val="5"/>
          <c:order val="5"/>
          <c:tx>
            <c:strRef>
              <c:f>'Data for Figure'!$A$9</c:f>
              <c:strCache>
                <c:ptCount val="1"/>
                <c:pt idx="0">
                  <c:v>Latin America and Caribbean</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Figure'!$B$9:$AG$9</c:f>
              <c:numCache>
                <c:formatCode>General</c:formatCode>
                <c:ptCount val="32"/>
                <c:pt idx="0">
                  <c:v>920.3</c:v>
                </c:pt>
                <c:pt idx="1">
                  <c:v>947.26</c:v>
                </c:pt>
                <c:pt idx="2">
                  <c:v>965.17</c:v>
                </c:pt>
                <c:pt idx="3">
                  <c:v>993.52</c:v>
                </c:pt>
                <c:pt idx="4">
                  <c:v>1041.24</c:v>
                </c:pt>
                <c:pt idx="5">
                  <c:v>1067.69</c:v>
                </c:pt>
                <c:pt idx="6">
                  <c:v>1138.52</c:v>
                </c:pt>
                <c:pt idx="7">
                  <c:v>1210.76</c:v>
                </c:pt>
                <c:pt idx="8">
                  <c:v>1259.9100000000001</c:v>
                </c:pt>
                <c:pt idx="9">
                  <c:v>1260.8399999999999</c:v>
                </c:pt>
                <c:pt idx="10">
                  <c:v>1303.96</c:v>
                </c:pt>
                <c:pt idx="11">
                  <c:v>1309.45</c:v>
                </c:pt>
                <c:pt idx="12">
                  <c:v>1315.69</c:v>
                </c:pt>
                <c:pt idx="13">
                  <c:v>1333.91</c:v>
                </c:pt>
                <c:pt idx="14">
                  <c:v>1396.08</c:v>
                </c:pt>
                <c:pt idx="15">
                  <c:v>1440.81</c:v>
                </c:pt>
                <c:pt idx="16">
                  <c:v>1482.98</c:v>
                </c:pt>
                <c:pt idx="17">
                  <c:v>1531.78</c:v>
                </c:pt>
                <c:pt idx="18">
                  <c:v>1583.67</c:v>
                </c:pt>
                <c:pt idx="19">
                  <c:v>1537.31</c:v>
                </c:pt>
                <c:pt idx="20">
                  <c:v>1643.52</c:v>
                </c:pt>
                <c:pt idx="21">
                  <c:v>1710.72</c:v>
                </c:pt>
                <c:pt idx="22">
                  <c:v>1785.3</c:v>
                </c:pt>
                <c:pt idx="23">
                  <c:v>1828.05</c:v>
                </c:pt>
                <c:pt idx="24">
                  <c:v>1836.18</c:v>
                </c:pt>
                <c:pt idx="25">
                  <c:v>1830.04</c:v>
                </c:pt>
                <c:pt idx="26">
                  <c:v>1787.77</c:v>
                </c:pt>
                <c:pt idx="27">
                  <c:v>1767.46</c:v>
                </c:pt>
                <c:pt idx="28">
                  <c:v>1715.03</c:v>
                </c:pt>
                <c:pt idx="29">
                  <c:v>1707.35</c:v>
                </c:pt>
                <c:pt idx="30">
                  <c:v>1481.01</c:v>
                </c:pt>
                <c:pt idx="31">
                  <c:v>1617.49</c:v>
                </c:pt>
              </c:numCache>
            </c:numRef>
          </c:val>
          <c:extLst>
            <c:ext xmlns:c16="http://schemas.microsoft.com/office/drawing/2014/chart" uri="{C3380CC4-5D6E-409C-BE32-E72D297353CC}">
              <c16:uniqueId val="{00000005-6A72-4752-AFD0-62BBAEE3192E}"/>
            </c:ext>
          </c:extLst>
        </c:ser>
        <c:ser>
          <c:idx val="6"/>
          <c:order val="6"/>
          <c:tx>
            <c:strRef>
              <c:f>'Data for Figure'!$A$10</c:f>
              <c:strCache>
                <c:ptCount val="1"/>
                <c:pt idx="0">
                  <c:v>Sub-Saharan Africa</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Figure'!$B$10:$AG$10</c:f>
              <c:numCache>
                <c:formatCode>General</c:formatCode>
                <c:ptCount val="32"/>
                <c:pt idx="0">
                  <c:v>416.88</c:v>
                </c:pt>
                <c:pt idx="1">
                  <c:v>426.56</c:v>
                </c:pt>
                <c:pt idx="2">
                  <c:v>437.18</c:v>
                </c:pt>
                <c:pt idx="3">
                  <c:v>438.36</c:v>
                </c:pt>
                <c:pt idx="4">
                  <c:v>440.82</c:v>
                </c:pt>
                <c:pt idx="5">
                  <c:v>467.7</c:v>
                </c:pt>
                <c:pt idx="6">
                  <c:v>498.81</c:v>
                </c:pt>
                <c:pt idx="7">
                  <c:v>512.16999999999996</c:v>
                </c:pt>
                <c:pt idx="8">
                  <c:v>518.49</c:v>
                </c:pt>
                <c:pt idx="9">
                  <c:v>509.99</c:v>
                </c:pt>
                <c:pt idx="10">
                  <c:v>522.15</c:v>
                </c:pt>
                <c:pt idx="11">
                  <c:v>566.58000000000004</c:v>
                </c:pt>
                <c:pt idx="12">
                  <c:v>566.84</c:v>
                </c:pt>
                <c:pt idx="13">
                  <c:v>598.84</c:v>
                </c:pt>
                <c:pt idx="14">
                  <c:v>631.75</c:v>
                </c:pt>
                <c:pt idx="15">
                  <c:v>636.37</c:v>
                </c:pt>
                <c:pt idx="16">
                  <c:v>635.84</c:v>
                </c:pt>
                <c:pt idx="17">
                  <c:v>653.88</c:v>
                </c:pt>
                <c:pt idx="18">
                  <c:v>698.84</c:v>
                </c:pt>
                <c:pt idx="19">
                  <c:v>672.75</c:v>
                </c:pt>
                <c:pt idx="20">
                  <c:v>723.07</c:v>
                </c:pt>
                <c:pt idx="21">
                  <c:v>727.5</c:v>
                </c:pt>
                <c:pt idx="22">
                  <c:v>752.59</c:v>
                </c:pt>
                <c:pt idx="23">
                  <c:v>791.2</c:v>
                </c:pt>
                <c:pt idx="24">
                  <c:v>823.61</c:v>
                </c:pt>
                <c:pt idx="25">
                  <c:v>809.35</c:v>
                </c:pt>
                <c:pt idx="26">
                  <c:v>820.77</c:v>
                </c:pt>
                <c:pt idx="27">
                  <c:v>830.27</c:v>
                </c:pt>
                <c:pt idx="28">
                  <c:v>850.33</c:v>
                </c:pt>
                <c:pt idx="29">
                  <c:v>873.03</c:v>
                </c:pt>
                <c:pt idx="30">
                  <c:v>787.04</c:v>
                </c:pt>
                <c:pt idx="31">
                  <c:v>824.81</c:v>
                </c:pt>
              </c:numCache>
            </c:numRef>
          </c:val>
          <c:extLst>
            <c:ext xmlns:c16="http://schemas.microsoft.com/office/drawing/2014/chart" uri="{C3380CC4-5D6E-409C-BE32-E72D297353CC}">
              <c16:uniqueId val="{00000006-6A72-4752-AFD0-62BBAEE3192E}"/>
            </c:ext>
          </c:extLst>
        </c:ser>
        <c:ser>
          <c:idx val="7"/>
          <c:order val="7"/>
          <c:tx>
            <c:strRef>
              <c:f>'Data for Figure'!$A$11</c:f>
              <c:strCache>
                <c:ptCount val="1"/>
                <c:pt idx="0">
                  <c:v>Canada</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Figure'!$B$11:$AG$11</c:f>
              <c:numCache>
                <c:formatCode>General</c:formatCode>
                <c:ptCount val="32"/>
                <c:pt idx="0">
                  <c:v>425.13</c:v>
                </c:pt>
                <c:pt idx="1">
                  <c:v>418.78</c:v>
                </c:pt>
                <c:pt idx="2">
                  <c:v>432.19</c:v>
                </c:pt>
                <c:pt idx="3">
                  <c:v>427.31</c:v>
                </c:pt>
                <c:pt idx="4">
                  <c:v>442.34</c:v>
                </c:pt>
                <c:pt idx="5">
                  <c:v>453.88</c:v>
                </c:pt>
                <c:pt idx="6">
                  <c:v>467.79</c:v>
                </c:pt>
                <c:pt idx="7">
                  <c:v>482.77</c:v>
                </c:pt>
                <c:pt idx="8">
                  <c:v>491.59</c:v>
                </c:pt>
                <c:pt idx="9">
                  <c:v>500.88</c:v>
                </c:pt>
                <c:pt idx="10">
                  <c:v>520.85</c:v>
                </c:pt>
                <c:pt idx="11">
                  <c:v>513.65</c:v>
                </c:pt>
                <c:pt idx="12">
                  <c:v>530.07000000000005</c:v>
                </c:pt>
                <c:pt idx="13">
                  <c:v>548.42999999999995</c:v>
                </c:pt>
                <c:pt idx="14">
                  <c:v>540.85</c:v>
                </c:pt>
                <c:pt idx="15">
                  <c:v>554.63</c:v>
                </c:pt>
                <c:pt idx="16">
                  <c:v>545.53</c:v>
                </c:pt>
                <c:pt idx="17">
                  <c:v>576.26</c:v>
                </c:pt>
                <c:pt idx="18">
                  <c:v>556.13</c:v>
                </c:pt>
                <c:pt idx="19">
                  <c:v>526.11</c:v>
                </c:pt>
                <c:pt idx="20">
                  <c:v>542.84</c:v>
                </c:pt>
                <c:pt idx="21">
                  <c:v>554.30999999999995</c:v>
                </c:pt>
                <c:pt idx="22">
                  <c:v>550.85</c:v>
                </c:pt>
                <c:pt idx="23">
                  <c:v>559.77</c:v>
                </c:pt>
                <c:pt idx="24">
                  <c:v>565.53</c:v>
                </c:pt>
                <c:pt idx="25">
                  <c:v>562.19000000000005</c:v>
                </c:pt>
                <c:pt idx="26">
                  <c:v>559.99</c:v>
                </c:pt>
                <c:pt idx="27">
                  <c:v>571.57000000000005</c:v>
                </c:pt>
                <c:pt idx="28">
                  <c:v>584.65</c:v>
                </c:pt>
                <c:pt idx="29">
                  <c:v>576.76</c:v>
                </c:pt>
                <c:pt idx="30">
                  <c:v>514.11</c:v>
                </c:pt>
                <c:pt idx="31">
                  <c:v>522.26</c:v>
                </c:pt>
              </c:numCache>
            </c:numRef>
          </c:val>
          <c:extLst>
            <c:ext xmlns:c16="http://schemas.microsoft.com/office/drawing/2014/chart" uri="{C3380CC4-5D6E-409C-BE32-E72D297353CC}">
              <c16:uniqueId val="{00000001-9B4F-4F3D-808A-ACB3ADC7FB02}"/>
            </c:ext>
          </c:extLst>
        </c:ser>
        <c:ser>
          <c:idx val="8"/>
          <c:order val="8"/>
          <c:tx>
            <c:strRef>
              <c:f>'Data for Figure'!$A$12</c:f>
              <c:strCache>
                <c:ptCount val="1"/>
                <c:pt idx="0">
                  <c:v>Other</c:v>
                </c:pt>
              </c:strCache>
            </c:strRef>
          </c:tx>
          <c:spPr>
            <a:ln w="25400">
              <a:noFill/>
            </a:ln>
          </c:spPr>
          <c:cat>
            <c:numRef>
              <c:f>'Data for Figure'!$B$3:$AG$3</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'Data for Figure'!$B$12:$AG$12</c:f>
              <c:numCache>
                <c:formatCode>General</c:formatCode>
                <c:ptCount val="32"/>
                <c:pt idx="0">
                  <c:v>347.39000000000306</c:v>
                </c:pt>
                <c:pt idx="1">
                  <c:v>355.27000000000044</c:v>
                </c:pt>
                <c:pt idx="2">
                  <c:v>246.11999999999898</c:v>
                </c:pt>
                <c:pt idx="3">
                  <c:v>260.11999999999898</c:v>
                </c:pt>
                <c:pt idx="4">
                  <c:v>266.34000000000015</c:v>
                </c:pt>
                <c:pt idx="5">
                  <c:v>280.16999999999825</c:v>
                </c:pt>
                <c:pt idx="6">
                  <c:v>286.55999999999767</c:v>
                </c:pt>
                <c:pt idx="7">
                  <c:v>304.2599999999984</c:v>
                </c:pt>
                <c:pt idx="8">
                  <c:v>328.63999999999578</c:v>
                </c:pt>
                <c:pt idx="9">
                  <c:v>349.18999999999869</c:v>
                </c:pt>
                <c:pt idx="10">
                  <c:v>367.29999999999927</c:v>
                </c:pt>
                <c:pt idx="11">
                  <c:v>369.94999999999709</c:v>
                </c:pt>
                <c:pt idx="12">
                  <c:v>371.61000000000058</c:v>
                </c:pt>
                <c:pt idx="13">
                  <c:v>391.56000000000131</c:v>
                </c:pt>
                <c:pt idx="14">
                  <c:v>407.73999999999796</c:v>
                </c:pt>
                <c:pt idx="15">
                  <c:v>417.87999999999738</c:v>
                </c:pt>
                <c:pt idx="16">
                  <c:v>429.88000000000466</c:v>
                </c:pt>
                <c:pt idx="17">
                  <c:v>440.43999999999869</c:v>
                </c:pt>
                <c:pt idx="18">
                  <c:v>419.56000000000131</c:v>
                </c:pt>
                <c:pt idx="19">
                  <c:v>418.40999999999985</c:v>
                </c:pt>
                <c:pt idx="20">
                  <c:v>439.58000000000175</c:v>
                </c:pt>
                <c:pt idx="21">
                  <c:v>432.04000000000087</c:v>
                </c:pt>
                <c:pt idx="22">
                  <c:v>427.13999999999942</c:v>
                </c:pt>
                <c:pt idx="23">
                  <c:v>430.64999999999418</c:v>
                </c:pt>
                <c:pt idx="24">
                  <c:v>435.16999999999825</c:v>
                </c:pt>
                <c:pt idx="25">
                  <c:v>437.40000000000146</c:v>
                </c:pt>
                <c:pt idx="26">
                  <c:v>449.48999999999796</c:v>
                </c:pt>
                <c:pt idx="27">
                  <c:v>453.56000000000495</c:v>
                </c:pt>
                <c:pt idx="28">
                  <c:v>447.76000000000204</c:v>
                </c:pt>
                <c:pt idx="29">
                  <c:v>434.4800000000032</c:v>
                </c:pt>
                <c:pt idx="30">
                  <c:v>400.43999999999505</c:v>
                </c:pt>
                <c:pt idx="31">
                  <c:v>407.18999999999505</c:v>
                </c:pt>
              </c:numCache>
            </c:numRef>
          </c:val>
          <c:extLst>
            <c:ext xmlns:c16="http://schemas.microsoft.com/office/drawing/2014/chart" uri="{C3380CC4-5D6E-409C-BE32-E72D297353CC}">
              <c16:uniqueId val="{00000001-862A-4265-B240-9CD9FD29FA03}"/>
            </c:ext>
          </c:extLst>
        </c:ser>
        <c:dLbls>
          <c:showLegendKey val="0"/>
          <c:showVal val="0"/>
          <c:showCatName val="0"/>
          <c:showSerName val="0"/>
          <c:showPercent val="0"/>
          <c:showBubbleSize val="0"/>
        </c:dLbls>
        <c:axId val="436338936"/>
        <c:axId val="436340112"/>
      </c:areaChart>
      <c:catAx>
        <c:axId val="43633893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Year</a:t>
                </a:r>
              </a:p>
            </c:rich>
          </c:tx>
          <c:layout>
            <c:manualLayout>
              <c:xMode val="edge"/>
              <c:yMode val="edge"/>
              <c:x val="0.4528301886792459"/>
              <c:y val="0.939641109298533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36340112"/>
        <c:crosses val="autoZero"/>
        <c:auto val="1"/>
        <c:lblAlgn val="ctr"/>
        <c:lblOffset val="100"/>
        <c:tickMarkSkip val="1"/>
        <c:noMultiLvlLbl val="0"/>
      </c:catAx>
      <c:valAx>
        <c:axId val="436340112"/>
        <c:scaling>
          <c:orientation val="minMax"/>
        </c:scaling>
        <c:delete val="0"/>
        <c:axPos val="l"/>
        <c:majorGridlines>
          <c:spPr>
            <a:ln w="3175">
              <a:solidFill>
                <a:srgbClr val="C0C0C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Emissions (million metric tons)</a:t>
                </a:r>
              </a:p>
            </c:rich>
          </c:tx>
          <c:layout>
            <c:manualLayout>
              <c:xMode val="edge"/>
              <c:yMode val="edge"/>
              <c:x val="1.183870844886465E-2"/>
              <c:y val="0.3326569944578561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36338936"/>
        <c:crosses val="autoZero"/>
        <c:crossBetween val="midCat"/>
      </c:valAx>
      <c:spPr>
        <a:noFill/>
        <a:ln w="25400">
          <a:noFill/>
        </a:ln>
      </c:spPr>
    </c:plotArea>
    <c:legend>
      <c:legendPos val="r"/>
      <c:layout>
        <c:manualLayout>
          <c:xMode val="edge"/>
          <c:yMode val="edge"/>
          <c:x val="0.12654938433015853"/>
          <c:y val="0.15682387976507531"/>
          <c:w val="0.4294983383816055"/>
          <c:h val="0.18080372963445196"/>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2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tabSelected="1" zoomScale="85" workbookViewId="0"/>
  </sheetViews>
  <pageMargins left="0.75" right="0.75" top="1" bottom="1" header="0.5" footer="0.5"/>
  <pageSetup orientation="landscape" horizontalDpi="1200" verticalDpi="1200"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708821" cy="7279821"/>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5300-E8C5-4726-AB43-D432C0B78F79}">
  <dimension ref="A1:AH13"/>
  <sheetViews>
    <sheetView topLeftCell="AE1" zoomScale="123" zoomScaleNormal="85" workbookViewId="0">
      <selection activeCell="AJ11" sqref="AJ11"/>
    </sheetView>
  </sheetViews>
  <sheetFormatPr defaultRowHeight="13.15"/>
  <cols>
    <col min="1" max="1" width="26.85546875" bestFit="1" customWidth="1"/>
    <col min="28" max="28" width="9.28515625" bestFit="1" customWidth="1"/>
    <col min="34" max="34" width="16.140625" bestFit="1" customWidth="1"/>
  </cols>
  <sheetData>
    <row r="1" spans="1:34">
      <c r="A1" t="s">
        <v>0</v>
      </c>
    </row>
    <row r="3" spans="1:34">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s="8" t="s">
        <v>1</v>
      </c>
    </row>
    <row r="4" spans="1:34">
      <c r="A4" s="10" t="s">
        <v>2</v>
      </c>
      <c r="B4">
        <f>'Original Data-Climate Watch'!C2</f>
        <v>4426.3999999999996</v>
      </c>
      <c r="C4">
        <f>'Original Data-Climate Watch'!D2</f>
        <v>4630.04</v>
      </c>
      <c r="D4">
        <f>'Original Data-Climate Watch'!E2</f>
        <v>4815.25</v>
      </c>
      <c r="E4">
        <f>'Original Data-Climate Watch'!F2</f>
        <v>5110.92</v>
      </c>
      <c r="F4">
        <f>'Original Data-Climate Watch'!G2</f>
        <v>5368.38</v>
      </c>
      <c r="G4">
        <f>'Original Data-Climate Watch'!H2</f>
        <v>5806.44</v>
      </c>
      <c r="H4">
        <f>'Original Data-Climate Watch'!I2</f>
        <v>5891.62</v>
      </c>
      <c r="I4">
        <f>'Original Data-Climate Watch'!J2</f>
        <v>6037.38</v>
      </c>
      <c r="J4">
        <f>'Original Data-Climate Watch'!K2</f>
        <v>6036.46</v>
      </c>
      <c r="K4">
        <f>'Original Data-Climate Watch'!L2</f>
        <v>6084.26</v>
      </c>
      <c r="L4">
        <f>'Original Data-Climate Watch'!M2</f>
        <v>6374.74</v>
      </c>
      <c r="M4">
        <f>'Original Data-Climate Watch'!N2</f>
        <v>6610.15</v>
      </c>
      <c r="N4">
        <f>'Original Data-Climate Watch'!O2</f>
        <v>6957.2</v>
      </c>
      <c r="O4">
        <f>'Original Data-Climate Watch'!P2</f>
        <v>7652.26</v>
      </c>
      <c r="P4">
        <f>'Original Data-Climate Watch'!Q2</f>
        <v>8450.7999999999993</v>
      </c>
      <c r="Q4">
        <f>'Original Data-Climate Watch'!R2</f>
        <v>9220.8799999999992</v>
      </c>
      <c r="R4">
        <f>'Original Data-Climate Watch'!S2</f>
        <v>9871.5</v>
      </c>
      <c r="S4">
        <f>'Original Data-Climate Watch'!T2</f>
        <v>10542.35</v>
      </c>
      <c r="T4">
        <f>'Original Data-Climate Watch'!U2</f>
        <v>10733.81</v>
      </c>
      <c r="U4">
        <f>'Original Data-Climate Watch'!V2</f>
        <v>11209.92</v>
      </c>
      <c r="V4">
        <f>'Original Data-Climate Watch'!W2</f>
        <v>12188.34</v>
      </c>
      <c r="W4">
        <f>'Original Data-Climate Watch'!X2</f>
        <v>13136.87</v>
      </c>
      <c r="X4">
        <f>'Original Data-Climate Watch'!Y2</f>
        <v>13473.12</v>
      </c>
      <c r="Y4">
        <f>'Original Data-Climate Watch'!Z2</f>
        <v>13928.4</v>
      </c>
      <c r="Z4">
        <f>'Original Data-Climate Watch'!AA2</f>
        <v>13963.94</v>
      </c>
      <c r="AA4">
        <f>'Original Data-Climate Watch'!AB2</f>
        <v>13859.23</v>
      </c>
      <c r="AB4">
        <f>'Original Data-Climate Watch'!AC2</f>
        <v>13937.62</v>
      </c>
      <c r="AC4">
        <f>'Original Data-Climate Watch'!AD2</f>
        <v>14266.91</v>
      </c>
      <c r="AD4">
        <f>'Original Data-Climate Watch'!AE2</f>
        <v>14838.22</v>
      </c>
      <c r="AE4">
        <f>'Original Data-Climate Watch'!AF2</f>
        <v>15117.02</v>
      </c>
      <c r="AF4">
        <f>'Original Data-Climate Watch'!AG2</f>
        <v>14999.59</v>
      </c>
      <c r="AG4">
        <f>'Original Data-Climate Watch'!AH2</f>
        <v>15603.66</v>
      </c>
      <c r="AH4" s="7">
        <f>AG4/SUM($AG$4:$AG$12)</f>
        <v>0.43903970773566903</v>
      </c>
    </row>
    <row r="5" spans="1:34">
      <c r="A5" s="10" t="s">
        <v>3</v>
      </c>
      <c r="B5">
        <f>'Original Data-Climate Watch'!C3</f>
        <v>8207.44</v>
      </c>
      <c r="C5">
        <f>'Original Data-Climate Watch'!D3</f>
        <v>8073.82</v>
      </c>
      <c r="D5">
        <f>'Original Data-Climate Watch'!E3</f>
        <v>7725.79</v>
      </c>
      <c r="E5">
        <f>'Original Data-Climate Watch'!F3</f>
        <v>7333.09</v>
      </c>
      <c r="F5">
        <f>'Original Data-Climate Watch'!G3</f>
        <v>6959.98</v>
      </c>
      <c r="G5">
        <f>'Original Data-Climate Watch'!H3</f>
        <v>6913.48</v>
      </c>
      <c r="H5">
        <f>'Original Data-Climate Watch'!I3</f>
        <v>6951.51</v>
      </c>
      <c r="I5">
        <f>'Original Data-Climate Watch'!J3</f>
        <v>6739.2</v>
      </c>
      <c r="J5">
        <f>'Original Data-Climate Watch'!K3</f>
        <v>6747.17</v>
      </c>
      <c r="K5">
        <f>'Original Data-Climate Watch'!L3</f>
        <v>6691.5</v>
      </c>
      <c r="L5">
        <f>'Original Data-Climate Watch'!M3</f>
        <v>6782.77</v>
      </c>
      <c r="M5">
        <f>'Original Data-Climate Watch'!N3</f>
        <v>6842.97</v>
      </c>
      <c r="N5">
        <f>'Original Data-Climate Watch'!O3</f>
        <v>6857.73</v>
      </c>
      <c r="O5">
        <f>'Original Data-Climate Watch'!P3</f>
        <v>7073.58</v>
      </c>
      <c r="P5">
        <f>'Original Data-Climate Watch'!Q3</f>
        <v>7096.37</v>
      </c>
      <c r="Q5">
        <f>'Original Data-Climate Watch'!R3</f>
        <v>7104.33</v>
      </c>
      <c r="R5">
        <f>'Original Data-Climate Watch'!S3</f>
        <v>7241.45</v>
      </c>
      <c r="S5">
        <f>'Original Data-Climate Watch'!T3</f>
        <v>7252.04</v>
      </c>
      <c r="T5">
        <f>'Original Data-Climate Watch'!U3</f>
        <v>7205.37</v>
      </c>
      <c r="U5">
        <f>'Original Data-Climate Watch'!V3</f>
        <v>6657.9</v>
      </c>
      <c r="V5">
        <f>'Original Data-Climate Watch'!W3</f>
        <v>6902.75</v>
      </c>
      <c r="W5">
        <f>'Original Data-Climate Watch'!X3</f>
        <v>6924.77</v>
      </c>
      <c r="X5">
        <f>'Original Data-Climate Watch'!Y3</f>
        <v>6838.15</v>
      </c>
      <c r="Y5">
        <f>'Original Data-Climate Watch'!Z3</f>
        <v>6705.18</v>
      </c>
      <c r="Z5">
        <f>'Original Data-Climate Watch'!AA3</f>
        <v>6452.04</v>
      </c>
      <c r="AA5">
        <f>'Original Data-Climate Watch'!AB3</f>
        <v>6422.7</v>
      </c>
      <c r="AB5">
        <f>'Original Data-Climate Watch'!AC3</f>
        <v>6446.42</v>
      </c>
      <c r="AC5">
        <f>'Original Data-Climate Watch'!AD3</f>
        <v>6529.59</v>
      </c>
      <c r="AD5">
        <f>'Original Data-Climate Watch'!AE3</f>
        <v>6552.97</v>
      </c>
      <c r="AE5">
        <f>'Original Data-Climate Watch'!AF3</f>
        <v>6409.67</v>
      </c>
      <c r="AF5">
        <f>'Original Data-Climate Watch'!AG3</f>
        <v>5887.38</v>
      </c>
      <c r="AG5">
        <f>'Original Data-Climate Watch'!AH3</f>
        <v>6303.91</v>
      </c>
      <c r="AH5" s="7">
        <f t="shared" ref="AH4:AH12" si="0">AG5/SUM($AG$4:$AG$12)</f>
        <v>0.17737292430057827</v>
      </c>
    </row>
    <row r="6" spans="1:34">
      <c r="A6" t="s">
        <v>4</v>
      </c>
      <c r="B6">
        <f>'Original Data-Climate Watch'!C9</f>
        <v>4975.18</v>
      </c>
      <c r="C6">
        <f>'Original Data-Climate Watch'!D9</f>
        <v>4944.41</v>
      </c>
      <c r="D6">
        <f>'Original Data-Climate Watch'!E9</f>
        <v>5023.4399999999996</v>
      </c>
      <c r="E6">
        <f>'Original Data-Climate Watch'!F9</f>
        <v>5127.53</v>
      </c>
      <c r="F6">
        <f>'Original Data-Climate Watch'!G9</f>
        <v>5196.84</v>
      </c>
      <c r="G6">
        <f>'Original Data-Climate Watch'!H9</f>
        <v>5254.81</v>
      </c>
      <c r="H6">
        <f>'Original Data-Climate Watch'!I9</f>
        <v>5408</v>
      </c>
      <c r="I6">
        <f>'Original Data-Climate Watch'!J9</f>
        <v>5669.96</v>
      </c>
      <c r="J6">
        <f>'Original Data-Climate Watch'!K9</f>
        <v>5716.91</v>
      </c>
      <c r="K6">
        <f>'Original Data-Climate Watch'!L9</f>
        <v>5749.42</v>
      </c>
      <c r="L6">
        <f>'Original Data-Climate Watch'!M9</f>
        <v>5923.25</v>
      </c>
      <c r="M6">
        <f>'Original Data-Climate Watch'!N9</f>
        <v>5862.46</v>
      </c>
      <c r="N6">
        <f>'Original Data-Climate Watch'!O9</f>
        <v>5731.77</v>
      </c>
      <c r="O6">
        <f>'Original Data-Climate Watch'!P9</f>
        <v>5781.98</v>
      </c>
      <c r="P6">
        <f>'Original Data-Climate Watch'!Q9</f>
        <v>5879.45</v>
      </c>
      <c r="Q6">
        <f>'Original Data-Climate Watch'!R9</f>
        <v>5904.93</v>
      </c>
      <c r="R6">
        <f>'Original Data-Climate Watch'!S9</f>
        <v>5811.32</v>
      </c>
      <c r="S6">
        <f>'Original Data-Climate Watch'!T9</f>
        <v>5904.33</v>
      </c>
      <c r="T6">
        <f>'Original Data-Climate Watch'!U9</f>
        <v>5712.39</v>
      </c>
      <c r="U6">
        <f>'Original Data-Climate Watch'!V9</f>
        <v>5297.45</v>
      </c>
      <c r="V6">
        <f>'Original Data-Climate Watch'!W9</f>
        <v>5540.76</v>
      </c>
      <c r="W6">
        <f>'Original Data-Climate Watch'!X9</f>
        <v>5318.98</v>
      </c>
      <c r="X6">
        <f>'Original Data-Climate Watch'!Y9</f>
        <v>5075.1099999999997</v>
      </c>
      <c r="Y6">
        <f>'Original Data-Climate Watch'!Z9</f>
        <v>5210.1000000000004</v>
      </c>
      <c r="Z6">
        <f>'Original Data-Climate Watch'!AA9</f>
        <v>5225.76</v>
      </c>
      <c r="AA6">
        <f>'Original Data-Climate Watch'!AB9</f>
        <v>5114.76</v>
      </c>
      <c r="AB6">
        <f>'Original Data-Climate Watch'!AC9</f>
        <v>5031.03</v>
      </c>
      <c r="AC6">
        <f>'Original Data-Climate Watch'!AD9</f>
        <v>4967.24</v>
      </c>
      <c r="AD6">
        <f>'Original Data-Climate Watch'!AE9</f>
        <v>5114.79</v>
      </c>
      <c r="AE6">
        <f>'Original Data-Climate Watch'!AF9</f>
        <v>4966.2299999999996</v>
      </c>
      <c r="AF6">
        <f>'Original Data-Climate Watch'!AG9</f>
        <v>4416.1499999999996</v>
      </c>
      <c r="AG6">
        <f>'Original Data-Climate Watch'!AH9</f>
        <v>4722.2299999999996</v>
      </c>
      <c r="AH6" s="7">
        <f t="shared" si="0"/>
        <v>0.13286924215604595</v>
      </c>
    </row>
    <row r="7" spans="1:34">
      <c r="A7" t="s">
        <v>5</v>
      </c>
      <c r="B7">
        <f>'Original Data-Climate Watch'!C6</f>
        <v>649.29999999999995</v>
      </c>
      <c r="C7">
        <f>'Original Data-Climate Watch'!D6</f>
        <v>693.41</v>
      </c>
      <c r="D7">
        <f>'Original Data-Climate Watch'!E6</f>
        <v>721.47</v>
      </c>
      <c r="E7">
        <f>'Original Data-Climate Watch'!F6</f>
        <v>754.82</v>
      </c>
      <c r="F7">
        <f>'Original Data-Climate Watch'!G6</f>
        <v>794.4</v>
      </c>
      <c r="G7">
        <f>'Original Data-Climate Watch'!H6</f>
        <v>856.69</v>
      </c>
      <c r="H7">
        <f>'Original Data-Climate Watch'!I6</f>
        <v>899.18</v>
      </c>
      <c r="I7">
        <f>'Original Data-Climate Watch'!J6</f>
        <v>950.01</v>
      </c>
      <c r="J7">
        <f>'Original Data-Climate Watch'!K6</f>
        <v>969.12</v>
      </c>
      <c r="K7">
        <f>'Original Data-Climate Watch'!L6</f>
        <v>1045.6099999999999</v>
      </c>
      <c r="L7">
        <f>'Original Data-Climate Watch'!M6</f>
        <v>1083.98</v>
      </c>
      <c r="M7">
        <f>'Original Data-Climate Watch'!N6</f>
        <v>1106.29</v>
      </c>
      <c r="N7">
        <f>'Original Data-Climate Watch'!O6</f>
        <v>1143.26</v>
      </c>
      <c r="O7">
        <f>'Original Data-Climate Watch'!P6</f>
        <v>1176.05</v>
      </c>
      <c r="P7">
        <f>'Original Data-Climate Watch'!Q6</f>
        <v>1265.9000000000001</v>
      </c>
      <c r="Q7">
        <f>'Original Data-Climate Watch'!R6</f>
        <v>1326.04</v>
      </c>
      <c r="R7">
        <f>'Original Data-Climate Watch'!S6</f>
        <v>1418.46</v>
      </c>
      <c r="S7">
        <f>'Original Data-Climate Watch'!T6</f>
        <v>1558.33</v>
      </c>
      <c r="T7">
        <f>'Original Data-Climate Watch'!U6</f>
        <v>1645.63</v>
      </c>
      <c r="U7">
        <f>'Original Data-Climate Watch'!V6</f>
        <v>1797.6</v>
      </c>
      <c r="V7">
        <f>'Original Data-Climate Watch'!W6</f>
        <v>1897.86</v>
      </c>
      <c r="W7">
        <f>'Original Data-Climate Watch'!X6</f>
        <v>2008.42</v>
      </c>
      <c r="X7">
        <f>'Original Data-Climate Watch'!Y6</f>
        <v>2167.88</v>
      </c>
      <c r="Y7">
        <f>'Original Data-Climate Watch'!Z6</f>
        <v>2232.96</v>
      </c>
      <c r="Z7">
        <f>'Original Data-Climate Watch'!AA6</f>
        <v>2425.0100000000002</v>
      </c>
      <c r="AA7">
        <f>'Original Data-Climate Watch'!AB6</f>
        <v>2455.19</v>
      </c>
      <c r="AB7">
        <f>'Original Data-Climate Watch'!AC6</f>
        <v>2527.2600000000002</v>
      </c>
      <c r="AC7">
        <f>'Original Data-Climate Watch'!AD6</f>
        <v>2669.15</v>
      </c>
      <c r="AD7">
        <f>'Original Data-Climate Watch'!AE6</f>
        <v>2812.05</v>
      </c>
      <c r="AE7">
        <f>'Original Data-Climate Watch'!AF6</f>
        <v>2777.28</v>
      </c>
      <c r="AF7">
        <f>'Original Data-Climate Watch'!AG6</f>
        <v>2562.92</v>
      </c>
      <c r="AG7">
        <f>'Original Data-Climate Watch'!AH6</f>
        <v>2822.56</v>
      </c>
      <c r="AH7" s="7">
        <f t="shared" si="0"/>
        <v>7.9418285034818112E-2</v>
      </c>
    </row>
    <row r="8" spans="1:34">
      <c r="A8" s="10" t="s">
        <v>6</v>
      </c>
      <c r="B8">
        <f>'Original Data-Climate Watch'!C5</f>
        <v>929.09</v>
      </c>
      <c r="C8">
        <f>'Original Data-Climate Watch'!D5</f>
        <v>964.63</v>
      </c>
      <c r="D8">
        <f>'Original Data-Climate Watch'!E5</f>
        <v>1038.0999999999999</v>
      </c>
      <c r="E8">
        <f>'Original Data-Climate Watch'!F5</f>
        <v>1101.78</v>
      </c>
      <c r="F8">
        <f>'Original Data-Climate Watch'!G5</f>
        <v>1183.9100000000001</v>
      </c>
      <c r="G8">
        <f>'Original Data-Climate Watch'!H5</f>
        <v>1216.57</v>
      </c>
      <c r="H8">
        <f>'Original Data-Climate Watch'!I5</f>
        <v>1256.58</v>
      </c>
      <c r="I8">
        <f>'Original Data-Climate Watch'!J5</f>
        <v>1314.25</v>
      </c>
      <c r="J8">
        <f>'Original Data-Climate Watch'!K5</f>
        <v>1316.38</v>
      </c>
      <c r="K8">
        <f>'Original Data-Climate Watch'!L5</f>
        <v>1362.22</v>
      </c>
      <c r="L8">
        <f>'Original Data-Climate Watch'!M5</f>
        <v>1423.33</v>
      </c>
      <c r="M8">
        <f>'Original Data-Climate Watch'!N5</f>
        <v>1484.84</v>
      </c>
      <c r="N8">
        <f>'Original Data-Climate Watch'!O5</f>
        <v>1536.84</v>
      </c>
      <c r="O8">
        <f>'Original Data-Climate Watch'!P5</f>
        <v>1598.28</v>
      </c>
      <c r="P8">
        <f>'Original Data-Climate Watch'!Q5</f>
        <v>1686.27</v>
      </c>
      <c r="Q8">
        <f>'Original Data-Climate Watch'!R5</f>
        <v>1791.13</v>
      </c>
      <c r="R8">
        <f>'Original Data-Climate Watch'!S5</f>
        <v>1895.51</v>
      </c>
      <c r="S8">
        <f>'Original Data-Climate Watch'!T5</f>
        <v>1985.68</v>
      </c>
      <c r="T8">
        <f>'Original Data-Climate Watch'!U5</f>
        <v>2107.1</v>
      </c>
      <c r="U8">
        <f>'Original Data-Climate Watch'!V5</f>
        <v>2163.19</v>
      </c>
      <c r="V8">
        <f>'Original Data-Climate Watch'!W5</f>
        <v>2261.4299999999998</v>
      </c>
      <c r="W8">
        <f>'Original Data-Climate Watch'!X5</f>
        <v>2309.39</v>
      </c>
      <c r="X8">
        <f>'Original Data-Climate Watch'!Y5</f>
        <v>2429.86</v>
      </c>
      <c r="Y8">
        <f>'Original Data-Climate Watch'!Z5</f>
        <v>2481.1799999999998</v>
      </c>
      <c r="Z8">
        <f>'Original Data-Climate Watch'!AA5</f>
        <v>2563.77</v>
      </c>
      <c r="AA8">
        <f>'Original Data-Climate Watch'!AB5</f>
        <v>2613.89</v>
      </c>
      <c r="AB8">
        <f>'Original Data-Climate Watch'!AC5</f>
        <v>2640.02</v>
      </c>
      <c r="AC8">
        <f>'Original Data-Climate Watch'!AD5</f>
        <v>2673.94</v>
      </c>
      <c r="AD8">
        <f>'Original Data-Climate Watch'!AE5</f>
        <v>2653.62</v>
      </c>
      <c r="AE8">
        <f>'Original Data-Climate Watch'!AF5</f>
        <v>2713.79</v>
      </c>
      <c r="AF8">
        <f>'Original Data-Climate Watch'!AG5</f>
        <v>2597.7800000000002</v>
      </c>
      <c r="AG8">
        <f>'Original Data-Climate Watch'!AH5</f>
        <v>2716.32</v>
      </c>
      <c r="AH8" s="7">
        <f t="shared" si="0"/>
        <v>7.6429013379973196E-2</v>
      </c>
    </row>
    <row r="9" spans="1:34">
      <c r="A9" s="10" t="s">
        <v>7</v>
      </c>
      <c r="B9">
        <f>'Original Data-Climate Watch'!C4</f>
        <v>920.3</v>
      </c>
      <c r="C9">
        <f>'Original Data-Climate Watch'!D4</f>
        <v>947.26</v>
      </c>
      <c r="D9">
        <f>'Original Data-Climate Watch'!E4</f>
        <v>965.17</v>
      </c>
      <c r="E9">
        <f>'Original Data-Climate Watch'!F4</f>
        <v>993.52</v>
      </c>
      <c r="F9">
        <f>'Original Data-Climate Watch'!G4</f>
        <v>1041.24</v>
      </c>
      <c r="G9">
        <f>'Original Data-Climate Watch'!H4</f>
        <v>1067.69</v>
      </c>
      <c r="H9">
        <f>'Original Data-Climate Watch'!I4</f>
        <v>1138.52</v>
      </c>
      <c r="I9">
        <f>'Original Data-Climate Watch'!J4</f>
        <v>1210.76</v>
      </c>
      <c r="J9">
        <f>'Original Data-Climate Watch'!K4</f>
        <v>1259.9100000000001</v>
      </c>
      <c r="K9">
        <f>'Original Data-Climate Watch'!L4</f>
        <v>1260.8399999999999</v>
      </c>
      <c r="L9">
        <f>'Original Data-Climate Watch'!M4</f>
        <v>1303.96</v>
      </c>
      <c r="M9">
        <f>'Original Data-Climate Watch'!N4</f>
        <v>1309.45</v>
      </c>
      <c r="N9">
        <f>'Original Data-Climate Watch'!O4</f>
        <v>1315.69</v>
      </c>
      <c r="O9">
        <f>'Original Data-Climate Watch'!P4</f>
        <v>1333.91</v>
      </c>
      <c r="P9">
        <f>'Original Data-Climate Watch'!Q4</f>
        <v>1396.08</v>
      </c>
      <c r="Q9">
        <f>'Original Data-Climate Watch'!R4</f>
        <v>1440.81</v>
      </c>
      <c r="R9">
        <f>'Original Data-Climate Watch'!S4</f>
        <v>1482.98</v>
      </c>
      <c r="S9">
        <f>'Original Data-Climate Watch'!T4</f>
        <v>1531.78</v>
      </c>
      <c r="T9">
        <f>'Original Data-Climate Watch'!U4</f>
        <v>1583.67</v>
      </c>
      <c r="U9">
        <f>'Original Data-Climate Watch'!V4</f>
        <v>1537.31</v>
      </c>
      <c r="V9">
        <f>'Original Data-Climate Watch'!W4</f>
        <v>1643.52</v>
      </c>
      <c r="W9">
        <f>'Original Data-Climate Watch'!X4</f>
        <v>1710.72</v>
      </c>
      <c r="X9">
        <f>'Original Data-Climate Watch'!Y4</f>
        <v>1785.3</v>
      </c>
      <c r="Y9">
        <f>'Original Data-Climate Watch'!Z4</f>
        <v>1828.05</v>
      </c>
      <c r="Z9">
        <f>'Original Data-Climate Watch'!AA4</f>
        <v>1836.18</v>
      </c>
      <c r="AA9">
        <f>'Original Data-Climate Watch'!AB4</f>
        <v>1830.04</v>
      </c>
      <c r="AB9">
        <f>'Original Data-Climate Watch'!AC4</f>
        <v>1787.77</v>
      </c>
      <c r="AC9">
        <f>'Original Data-Climate Watch'!AD4</f>
        <v>1767.46</v>
      </c>
      <c r="AD9">
        <f>'Original Data-Climate Watch'!AE4</f>
        <v>1715.03</v>
      </c>
      <c r="AE9">
        <f>'Original Data-Climate Watch'!AF4</f>
        <v>1707.35</v>
      </c>
      <c r="AF9">
        <f>'Original Data-Climate Watch'!AG4</f>
        <v>1481.01</v>
      </c>
      <c r="AG9">
        <f>'Original Data-Climate Watch'!AH4</f>
        <v>1617.49</v>
      </c>
      <c r="AH9" s="7">
        <f t="shared" si="0"/>
        <v>4.5511267027438899E-2</v>
      </c>
    </row>
    <row r="10" spans="1:34">
      <c r="A10" t="s">
        <v>8</v>
      </c>
      <c r="B10">
        <f>'Original Data-Climate Watch'!C7</f>
        <v>416.88</v>
      </c>
      <c r="C10">
        <f>'Original Data-Climate Watch'!D7</f>
        <v>426.56</v>
      </c>
      <c r="D10">
        <f>'Original Data-Climate Watch'!E7</f>
        <v>437.18</v>
      </c>
      <c r="E10">
        <f>'Original Data-Climate Watch'!F7</f>
        <v>438.36</v>
      </c>
      <c r="F10">
        <f>'Original Data-Climate Watch'!G7</f>
        <v>440.82</v>
      </c>
      <c r="G10">
        <f>'Original Data-Climate Watch'!H7</f>
        <v>467.7</v>
      </c>
      <c r="H10">
        <f>'Original Data-Climate Watch'!I7</f>
        <v>498.81</v>
      </c>
      <c r="I10">
        <f>'Original Data-Climate Watch'!J7</f>
        <v>512.16999999999996</v>
      </c>
      <c r="J10">
        <f>'Original Data-Climate Watch'!K7</f>
        <v>518.49</v>
      </c>
      <c r="K10">
        <f>'Original Data-Climate Watch'!L7</f>
        <v>509.99</v>
      </c>
      <c r="L10">
        <f>'Original Data-Climate Watch'!M7</f>
        <v>522.15</v>
      </c>
      <c r="M10">
        <f>'Original Data-Climate Watch'!N7</f>
        <v>566.58000000000004</v>
      </c>
      <c r="N10">
        <f>'Original Data-Climate Watch'!O7</f>
        <v>566.84</v>
      </c>
      <c r="O10">
        <f>'Original Data-Climate Watch'!P7</f>
        <v>598.84</v>
      </c>
      <c r="P10">
        <f>'Original Data-Climate Watch'!Q7</f>
        <v>631.75</v>
      </c>
      <c r="Q10">
        <f>'Original Data-Climate Watch'!R7</f>
        <v>636.37</v>
      </c>
      <c r="R10">
        <f>'Original Data-Climate Watch'!S7</f>
        <v>635.84</v>
      </c>
      <c r="S10">
        <f>'Original Data-Climate Watch'!T7</f>
        <v>653.88</v>
      </c>
      <c r="T10">
        <f>'Original Data-Climate Watch'!U7</f>
        <v>698.84</v>
      </c>
      <c r="U10">
        <f>'Original Data-Climate Watch'!V7</f>
        <v>672.75</v>
      </c>
      <c r="V10">
        <f>'Original Data-Climate Watch'!W7</f>
        <v>723.07</v>
      </c>
      <c r="W10">
        <f>'Original Data-Climate Watch'!X7</f>
        <v>727.5</v>
      </c>
      <c r="X10">
        <f>'Original Data-Climate Watch'!Y7</f>
        <v>752.59</v>
      </c>
      <c r="Y10">
        <f>'Original Data-Climate Watch'!Z7</f>
        <v>791.2</v>
      </c>
      <c r="Z10">
        <f>'Original Data-Climate Watch'!AA7</f>
        <v>823.61</v>
      </c>
      <c r="AA10">
        <f>'Original Data-Climate Watch'!AB7</f>
        <v>809.35</v>
      </c>
      <c r="AB10">
        <f>'Original Data-Climate Watch'!AC7</f>
        <v>820.77</v>
      </c>
      <c r="AC10">
        <f>'Original Data-Climate Watch'!AD7</f>
        <v>830.27</v>
      </c>
      <c r="AD10">
        <f>'Original Data-Climate Watch'!AE7</f>
        <v>850.33</v>
      </c>
      <c r="AE10">
        <f>'Original Data-Climate Watch'!AF7</f>
        <v>873.03</v>
      </c>
      <c r="AF10">
        <f>'Original Data-Climate Watch'!AG7</f>
        <v>787.04</v>
      </c>
      <c r="AG10">
        <f>'Original Data-Climate Watch'!AH7</f>
        <v>824.81</v>
      </c>
      <c r="AH10" s="7">
        <f t="shared" si="0"/>
        <v>2.3207653931030102E-2</v>
      </c>
    </row>
    <row r="11" spans="1:34">
      <c r="A11" t="s">
        <v>9</v>
      </c>
      <c r="B11">
        <f>'Original Data-Climate Watch'!C8</f>
        <v>425.13</v>
      </c>
      <c r="C11">
        <f>'Original Data-Climate Watch'!D8</f>
        <v>418.78</v>
      </c>
      <c r="D11">
        <f>'Original Data-Climate Watch'!E8</f>
        <v>432.19</v>
      </c>
      <c r="E11">
        <f>'Original Data-Climate Watch'!F8</f>
        <v>427.31</v>
      </c>
      <c r="F11">
        <f>'Original Data-Climate Watch'!G8</f>
        <v>442.34</v>
      </c>
      <c r="G11">
        <f>'Original Data-Climate Watch'!H8</f>
        <v>453.88</v>
      </c>
      <c r="H11">
        <f>'Original Data-Climate Watch'!I8</f>
        <v>467.79</v>
      </c>
      <c r="I11">
        <f>'Original Data-Climate Watch'!J8</f>
        <v>482.77</v>
      </c>
      <c r="J11">
        <f>'Original Data-Climate Watch'!K8</f>
        <v>491.59</v>
      </c>
      <c r="K11">
        <f>'Original Data-Climate Watch'!L8</f>
        <v>500.88</v>
      </c>
      <c r="L11">
        <f>'Original Data-Climate Watch'!M8</f>
        <v>520.85</v>
      </c>
      <c r="M11">
        <f>'Original Data-Climate Watch'!N8</f>
        <v>513.65</v>
      </c>
      <c r="N11">
        <f>'Original Data-Climate Watch'!O8</f>
        <v>530.07000000000005</v>
      </c>
      <c r="O11">
        <f>'Original Data-Climate Watch'!P8</f>
        <v>548.42999999999995</v>
      </c>
      <c r="P11">
        <f>'Original Data-Climate Watch'!Q8</f>
        <v>540.85</v>
      </c>
      <c r="Q11">
        <f>'Original Data-Climate Watch'!R8</f>
        <v>554.63</v>
      </c>
      <c r="R11">
        <f>'Original Data-Climate Watch'!S8</f>
        <v>545.53</v>
      </c>
      <c r="S11">
        <f>'Original Data-Climate Watch'!T8</f>
        <v>576.26</v>
      </c>
      <c r="T11">
        <f>'Original Data-Climate Watch'!U8</f>
        <v>556.13</v>
      </c>
      <c r="U11">
        <f>'Original Data-Climate Watch'!V8</f>
        <v>526.11</v>
      </c>
      <c r="V11">
        <f>'Original Data-Climate Watch'!W8</f>
        <v>542.84</v>
      </c>
      <c r="W11">
        <f>'Original Data-Climate Watch'!X8</f>
        <v>554.30999999999995</v>
      </c>
      <c r="X11">
        <f>'Original Data-Climate Watch'!Y8</f>
        <v>550.85</v>
      </c>
      <c r="Y11">
        <f>'Original Data-Climate Watch'!Z8</f>
        <v>559.77</v>
      </c>
      <c r="Z11">
        <f>'Original Data-Climate Watch'!AA8</f>
        <v>565.53</v>
      </c>
      <c r="AA11">
        <f>'Original Data-Climate Watch'!AB8</f>
        <v>562.19000000000005</v>
      </c>
      <c r="AB11">
        <f>'Original Data-Climate Watch'!AC8</f>
        <v>559.99</v>
      </c>
      <c r="AC11">
        <f>'Original Data-Climate Watch'!AD8</f>
        <v>571.57000000000005</v>
      </c>
      <c r="AD11">
        <f>'Original Data-Climate Watch'!AE8</f>
        <v>584.65</v>
      </c>
      <c r="AE11">
        <f>'Original Data-Climate Watch'!AF8</f>
        <v>576.76</v>
      </c>
      <c r="AF11">
        <f>'Original Data-Climate Watch'!AG8</f>
        <v>514.11</v>
      </c>
      <c r="AG11">
        <f>'Original Data-Climate Watch'!AH8</f>
        <v>522.26</v>
      </c>
      <c r="AH11" s="7">
        <f t="shared" si="0"/>
        <v>1.4694813765618483E-2</v>
      </c>
    </row>
    <row r="12" spans="1:34">
      <c r="A12" t="s">
        <v>10</v>
      </c>
      <c r="B12">
        <f>'Original Data-Climate Watch'!C18</f>
        <v>347.39000000000306</v>
      </c>
      <c r="C12">
        <f>'Original Data-Climate Watch'!D18</f>
        <v>355.27000000000044</v>
      </c>
      <c r="D12">
        <f>'Original Data-Climate Watch'!E18</f>
        <v>246.11999999999898</v>
      </c>
      <c r="E12">
        <f>'Original Data-Climate Watch'!F18</f>
        <v>260.11999999999898</v>
      </c>
      <c r="F12">
        <f>'Original Data-Climate Watch'!G18</f>
        <v>266.34000000000015</v>
      </c>
      <c r="G12">
        <f>'Original Data-Climate Watch'!H18</f>
        <v>280.16999999999825</v>
      </c>
      <c r="H12">
        <f>'Original Data-Climate Watch'!I18</f>
        <v>286.55999999999767</v>
      </c>
      <c r="I12">
        <f>'Original Data-Climate Watch'!J18</f>
        <v>304.2599999999984</v>
      </c>
      <c r="J12">
        <f>'Original Data-Climate Watch'!K18</f>
        <v>328.63999999999578</v>
      </c>
      <c r="K12">
        <f>'Original Data-Climate Watch'!L18</f>
        <v>349.18999999999869</v>
      </c>
      <c r="L12">
        <f>'Original Data-Climate Watch'!M18</f>
        <v>367.29999999999927</v>
      </c>
      <c r="M12">
        <f>'Original Data-Climate Watch'!N18</f>
        <v>369.94999999999709</v>
      </c>
      <c r="N12">
        <f>'Original Data-Climate Watch'!O18</f>
        <v>371.61000000000058</v>
      </c>
      <c r="O12">
        <f>'Original Data-Climate Watch'!P18</f>
        <v>391.56000000000131</v>
      </c>
      <c r="P12">
        <f>'Original Data-Climate Watch'!Q18</f>
        <v>407.73999999999796</v>
      </c>
      <c r="Q12">
        <f>'Original Data-Climate Watch'!R18</f>
        <v>417.87999999999738</v>
      </c>
      <c r="R12">
        <f>'Original Data-Climate Watch'!S18</f>
        <v>429.88000000000466</v>
      </c>
      <c r="S12">
        <f>'Original Data-Climate Watch'!T18</f>
        <v>440.43999999999869</v>
      </c>
      <c r="T12">
        <f>'Original Data-Climate Watch'!U18</f>
        <v>419.56000000000131</v>
      </c>
      <c r="U12">
        <f>'Original Data-Climate Watch'!V18</f>
        <v>418.40999999999985</v>
      </c>
      <c r="V12">
        <f>'Original Data-Climate Watch'!W18</f>
        <v>439.58000000000175</v>
      </c>
      <c r="W12">
        <f>'Original Data-Climate Watch'!X18</f>
        <v>432.04000000000087</v>
      </c>
      <c r="X12">
        <f>'Original Data-Climate Watch'!Y18</f>
        <v>427.13999999999942</v>
      </c>
      <c r="Y12">
        <f>'Original Data-Climate Watch'!Z18</f>
        <v>430.64999999999418</v>
      </c>
      <c r="Z12">
        <f>'Original Data-Climate Watch'!AA18</f>
        <v>435.16999999999825</v>
      </c>
      <c r="AA12">
        <f>'Original Data-Climate Watch'!AB18</f>
        <v>437.40000000000146</v>
      </c>
      <c r="AB12">
        <f>'Original Data-Climate Watch'!AC18</f>
        <v>449.48999999999796</v>
      </c>
      <c r="AC12">
        <f>'Original Data-Climate Watch'!AD18</f>
        <v>453.56000000000495</v>
      </c>
      <c r="AD12">
        <f>'Original Data-Climate Watch'!AE18</f>
        <v>447.76000000000204</v>
      </c>
      <c r="AE12">
        <f>'Original Data-Climate Watch'!AF18</f>
        <v>434.4800000000032</v>
      </c>
      <c r="AF12">
        <f>'Original Data-Climate Watch'!AG18</f>
        <v>400.43999999999505</v>
      </c>
      <c r="AG12">
        <f>'Original Data-Climate Watch'!AH18</f>
        <v>407.18999999999505</v>
      </c>
      <c r="AH12" s="7">
        <f t="shared" si="0"/>
        <v>1.1457092668828012E-2</v>
      </c>
    </row>
    <row r="13" spans="1:34">
      <c r="AH13" s="7">
        <f>SUM(AH4:AH12)</f>
        <v>1</v>
      </c>
    </row>
  </sheetData>
  <autoFilter ref="A3:AH3" xr:uid="{0A895300-E8C5-4726-AB43-D432C0B78F79}">
    <sortState xmlns:xlrd2="http://schemas.microsoft.com/office/spreadsheetml/2017/richdata2" ref="A4:AH13">
      <sortCondition descending="1" ref="AG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8BC0-A66B-455E-8623-A501CB291561}">
  <dimension ref="A1:AH18"/>
  <sheetViews>
    <sheetView workbookViewId="0">
      <selection activeCell="AH9" sqref="AH9"/>
    </sheetView>
  </sheetViews>
  <sheetFormatPr defaultRowHeight="13.15"/>
  <cols>
    <col min="1" max="1" width="25.7109375" bestFit="1" customWidth="1"/>
    <col min="2" max="2" width="24.85546875" customWidth="1"/>
    <col min="3" max="3" width="22.42578125" bestFit="1" customWidth="1"/>
    <col min="4" max="4" width="10.28515625" customWidth="1"/>
  </cols>
  <sheetData>
    <row r="1" spans="1:34">
      <c r="A1" t="s">
        <v>11</v>
      </c>
      <c r="B1" t="s">
        <v>12</v>
      </c>
      <c r="C1">
        <v>1990</v>
      </c>
      <c r="D1">
        <v>1991</v>
      </c>
      <c r="E1">
        <v>1992</v>
      </c>
      <c r="F1">
        <v>1993</v>
      </c>
      <c r="G1">
        <v>1994</v>
      </c>
      <c r="H1">
        <v>1995</v>
      </c>
      <c r="I1">
        <v>1996</v>
      </c>
      <c r="J1">
        <v>1997</v>
      </c>
      <c r="K1">
        <v>1998</v>
      </c>
      <c r="L1">
        <v>1999</v>
      </c>
      <c r="M1">
        <v>2000</v>
      </c>
      <c r="N1">
        <v>2001</v>
      </c>
      <c r="O1">
        <v>2002</v>
      </c>
      <c r="P1">
        <v>2003</v>
      </c>
      <c r="Q1">
        <v>2004</v>
      </c>
      <c r="R1">
        <v>2005</v>
      </c>
      <c r="S1">
        <v>2006</v>
      </c>
      <c r="T1">
        <v>2007</v>
      </c>
      <c r="U1">
        <v>2008</v>
      </c>
      <c r="V1">
        <v>2009</v>
      </c>
      <c r="W1">
        <v>2010</v>
      </c>
      <c r="X1">
        <v>2011</v>
      </c>
      <c r="Y1">
        <v>2012</v>
      </c>
      <c r="Z1">
        <v>2013</v>
      </c>
      <c r="AA1">
        <v>2014</v>
      </c>
      <c r="AB1">
        <v>2015</v>
      </c>
      <c r="AC1">
        <v>2016</v>
      </c>
      <c r="AD1">
        <v>2017</v>
      </c>
      <c r="AE1">
        <v>2018</v>
      </c>
      <c r="AF1">
        <v>2019</v>
      </c>
      <c r="AG1">
        <v>2020</v>
      </c>
      <c r="AH1">
        <v>2021</v>
      </c>
    </row>
    <row r="2" spans="1:34">
      <c r="A2" t="s">
        <v>2</v>
      </c>
      <c r="B2" t="s">
        <v>13</v>
      </c>
      <c r="C2">
        <v>4426.3999999999996</v>
      </c>
      <c r="D2">
        <v>4630.04</v>
      </c>
      <c r="E2">
        <v>4815.25</v>
      </c>
      <c r="F2">
        <v>5110.92</v>
      </c>
      <c r="G2">
        <v>5368.38</v>
      </c>
      <c r="H2">
        <v>5806.44</v>
      </c>
      <c r="I2">
        <v>5891.62</v>
      </c>
      <c r="J2">
        <v>6037.38</v>
      </c>
      <c r="K2">
        <v>6036.46</v>
      </c>
      <c r="L2">
        <v>6084.26</v>
      </c>
      <c r="M2">
        <v>6374.74</v>
      </c>
      <c r="N2">
        <v>6610.15</v>
      </c>
      <c r="O2">
        <v>6957.2</v>
      </c>
      <c r="P2">
        <v>7652.26</v>
      </c>
      <c r="Q2">
        <v>8450.7999999999993</v>
      </c>
      <c r="R2">
        <v>9220.8799999999992</v>
      </c>
      <c r="S2">
        <v>9871.5</v>
      </c>
      <c r="T2">
        <v>10542.35</v>
      </c>
      <c r="U2">
        <v>10733.81</v>
      </c>
      <c r="V2">
        <v>11209.92</v>
      </c>
      <c r="W2">
        <v>12188.34</v>
      </c>
      <c r="X2">
        <v>13136.87</v>
      </c>
      <c r="Y2">
        <v>13473.12</v>
      </c>
      <c r="Z2">
        <v>13928.4</v>
      </c>
      <c r="AA2">
        <v>13963.94</v>
      </c>
      <c r="AB2">
        <v>13859.23</v>
      </c>
      <c r="AC2">
        <v>13937.62</v>
      </c>
      <c r="AD2">
        <v>14266.91</v>
      </c>
      <c r="AE2">
        <v>14838.22</v>
      </c>
      <c r="AF2">
        <v>15117.02</v>
      </c>
      <c r="AG2">
        <v>14999.59</v>
      </c>
      <c r="AH2">
        <v>15603.66</v>
      </c>
    </row>
    <row r="3" spans="1:34">
      <c r="A3" t="s">
        <v>3</v>
      </c>
      <c r="B3" t="s">
        <v>13</v>
      </c>
      <c r="C3">
        <v>8207.44</v>
      </c>
      <c r="D3">
        <v>8073.82</v>
      </c>
      <c r="E3">
        <v>7725.79</v>
      </c>
      <c r="F3">
        <v>7333.09</v>
      </c>
      <c r="G3">
        <v>6959.98</v>
      </c>
      <c r="H3">
        <v>6913.48</v>
      </c>
      <c r="I3">
        <v>6951.51</v>
      </c>
      <c r="J3">
        <v>6739.2</v>
      </c>
      <c r="K3">
        <v>6747.17</v>
      </c>
      <c r="L3">
        <v>6691.5</v>
      </c>
      <c r="M3">
        <v>6782.77</v>
      </c>
      <c r="N3">
        <v>6842.97</v>
      </c>
      <c r="O3">
        <v>6857.73</v>
      </c>
      <c r="P3">
        <v>7073.58</v>
      </c>
      <c r="Q3">
        <v>7096.37</v>
      </c>
      <c r="R3">
        <v>7104.33</v>
      </c>
      <c r="S3">
        <v>7241.45</v>
      </c>
      <c r="T3">
        <v>7252.04</v>
      </c>
      <c r="U3">
        <v>7205.37</v>
      </c>
      <c r="V3">
        <v>6657.9</v>
      </c>
      <c r="W3">
        <v>6902.75</v>
      </c>
      <c r="X3">
        <v>6924.77</v>
      </c>
      <c r="Y3">
        <v>6838.15</v>
      </c>
      <c r="Z3">
        <v>6705.18</v>
      </c>
      <c r="AA3">
        <v>6452.04</v>
      </c>
      <c r="AB3">
        <v>6422.7</v>
      </c>
      <c r="AC3">
        <v>6446.42</v>
      </c>
      <c r="AD3">
        <v>6529.59</v>
      </c>
      <c r="AE3">
        <v>6552.97</v>
      </c>
      <c r="AF3">
        <v>6409.67</v>
      </c>
      <c r="AG3">
        <v>5887.38</v>
      </c>
      <c r="AH3">
        <v>6303.91</v>
      </c>
    </row>
    <row r="4" spans="1:34">
      <c r="A4" t="s">
        <v>7</v>
      </c>
      <c r="B4" t="s">
        <v>13</v>
      </c>
      <c r="C4">
        <v>920.3</v>
      </c>
      <c r="D4">
        <v>947.26</v>
      </c>
      <c r="E4">
        <v>965.17</v>
      </c>
      <c r="F4">
        <v>993.52</v>
      </c>
      <c r="G4">
        <v>1041.24</v>
      </c>
      <c r="H4">
        <v>1067.69</v>
      </c>
      <c r="I4">
        <v>1138.52</v>
      </c>
      <c r="J4">
        <v>1210.76</v>
      </c>
      <c r="K4">
        <v>1259.9100000000001</v>
      </c>
      <c r="L4">
        <v>1260.8399999999999</v>
      </c>
      <c r="M4">
        <v>1303.96</v>
      </c>
      <c r="N4">
        <v>1309.45</v>
      </c>
      <c r="O4">
        <v>1315.69</v>
      </c>
      <c r="P4">
        <v>1333.91</v>
      </c>
      <c r="Q4">
        <v>1396.08</v>
      </c>
      <c r="R4">
        <v>1440.81</v>
      </c>
      <c r="S4">
        <v>1482.98</v>
      </c>
      <c r="T4">
        <v>1531.78</v>
      </c>
      <c r="U4">
        <v>1583.67</v>
      </c>
      <c r="V4">
        <v>1537.31</v>
      </c>
      <c r="W4">
        <v>1643.52</v>
      </c>
      <c r="X4">
        <v>1710.72</v>
      </c>
      <c r="Y4">
        <v>1785.3</v>
      </c>
      <c r="Z4">
        <v>1828.05</v>
      </c>
      <c r="AA4">
        <v>1836.18</v>
      </c>
      <c r="AB4">
        <v>1830.04</v>
      </c>
      <c r="AC4">
        <v>1787.77</v>
      </c>
      <c r="AD4">
        <v>1767.46</v>
      </c>
      <c r="AE4">
        <v>1715.03</v>
      </c>
      <c r="AF4">
        <v>1707.35</v>
      </c>
      <c r="AG4">
        <v>1481.01</v>
      </c>
      <c r="AH4">
        <v>1617.49</v>
      </c>
    </row>
    <row r="5" spans="1:34">
      <c r="A5" t="s">
        <v>6</v>
      </c>
      <c r="B5" t="s">
        <v>13</v>
      </c>
      <c r="C5">
        <v>929.09</v>
      </c>
      <c r="D5">
        <v>964.63</v>
      </c>
      <c r="E5">
        <v>1038.0999999999999</v>
      </c>
      <c r="F5">
        <v>1101.78</v>
      </c>
      <c r="G5">
        <v>1183.9100000000001</v>
      </c>
      <c r="H5">
        <v>1216.57</v>
      </c>
      <c r="I5">
        <v>1256.58</v>
      </c>
      <c r="J5">
        <v>1314.25</v>
      </c>
      <c r="K5">
        <v>1316.38</v>
      </c>
      <c r="L5">
        <v>1362.22</v>
      </c>
      <c r="M5">
        <v>1423.33</v>
      </c>
      <c r="N5">
        <v>1484.84</v>
      </c>
      <c r="O5">
        <v>1536.84</v>
      </c>
      <c r="P5">
        <v>1598.28</v>
      </c>
      <c r="Q5">
        <v>1686.27</v>
      </c>
      <c r="R5">
        <v>1791.13</v>
      </c>
      <c r="S5">
        <v>1895.51</v>
      </c>
      <c r="T5">
        <v>1985.68</v>
      </c>
      <c r="U5">
        <v>2107.1</v>
      </c>
      <c r="V5">
        <v>2163.19</v>
      </c>
      <c r="W5">
        <v>2261.4299999999998</v>
      </c>
      <c r="X5">
        <v>2309.39</v>
      </c>
      <c r="Y5">
        <v>2429.86</v>
      </c>
      <c r="Z5">
        <v>2481.1799999999998</v>
      </c>
      <c r="AA5">
        <v>2563.77</v>
      </c>
      <c r="AB5">
        <v>2613.89</v>
      </c>
      <c r="AC5">
        <v>2640.02</v>
      </c>
      <c r="AD5">
        <v>2673.94</v>
      </c>
      <c r="AE5">
        <v>2653.62</v>
      </c>
      <c r="AF5">
        <v>2713.79</v>
      </c>
      <c r="AG5">
        <v>2597.7800000000002</v>
      </c>
      <c r="AH5">
        <v>2716.32</v>
      </c>
    </row>
    <row r="6" spans="1:34">
      <c r="A6" t="s">
        <v>5</v>
      </c>
      <c r="B6" t="s">
        <v>13</v>
      </c>
      <c r="C6">
        <v>649.29999999999995</v>
      </c>
      <c r="D6">
        <v>693.41</v>
      </c>
      <c r="E6">
        <v>721.47</v>
      </c>
      <c r="F6">
        <v>754.82</v>
      </c>
      <c r="G6">
        <v>794.4</v>
      </c>
      <c r="H6">
        <v>856.69</v>
      </c>
      <c r="I6">
        <v>899.18</v>
      </c>
      <c r="J6">
        <v>950.01</v>
      </c>
      <c r="K6">
        <v>969.12</v>
      </c>
      <c r="L6">
        <v>1045.6099999999999</v>
      </c>
      <c r="M6">
        <v>1083.98</v>
      </c>
      <c r="N6">
        <v>1106.29</v>
      </c>
      <c r="O6">
        <v>1143.26</v>
      </c>
      <c r="P6">
        <v>1176.05</v>
      </c>
      <c r="Q6">
        <v>1265.9000000000001</v>
      </c>
      <c r="R6">
        <v>1326.04</v>
      </c>
      <c r="S6">
        <v>1418.46</v>
      </c>
      <c r="T6">
        <v>1558.33</v>
      </c>
      <c r="U6">
        <v>1645.63</v>
      </c>
      <c r="V6">
        <v>1797.6</v>
      </c>
      <c r="W6">
        <v>1897.86</v>
      </c>
      <c r="X6">
        <v>2008.42</v>
      </c>
      <c r="Y6">
        <v>2167.88</v>
      </c>
      <c r="Z6">
        <v>2232.96</v>
      </c>
      <c r="AA6">
        <v>2425.0100000000002</v>
      </c>
      <c r="AB6">
        <v>2455.19</v>
      </c>
      <c r="AC6">
        <v>2527.2600000000002</v>
      </c>
      <c r="AD6">
        <v>2669.15</v>
      </c>
      <c r="AE6">
        <v>2812.05</v>
      </c>
      <c r="AF6">
        <v>2777.28</v>
      </c>
      <c r="AG6">
        <v>2562.92</v>
      </c>
      <c r="AH6">
        <v>2822.56</v>
      </c>
    </row>
    <row r="7" spans="1:34">
      <c r="A7" t="s">
        <v>8</v>
      </c>
      <c r="B7" t="s">
        <v>13</v>
      </c>
      <c r="C7">
        <v>416.88</v>
      </c>
      <c r="D7">
        <v>426.56</v>
      </c>
      <c r="E7">
        <v>437.18</v>
      </c>
      <c r="F7">
        <v>438.36</v>
      </c>
      <c r="G7">
        <v>440.82</v>
      </c>
      <c r="H7">
        <v>467.7</v>
      </c>
      <c r="I7">
        <v>498.81</v>
      </c>
      <c r="J7">
        <v>512.16999999999996</v>
      </c>
      <c r="K7">
        <v>518.49</v>
      </c>
      <c r="L7">
        <v>509.99</v>
      </c>
      <c r="M7">
        <v>522.15</v>
      </c>
      <c r="N7">
        <v>566.58000000000004</v>
      </c>
      <c r="O7">
        <v>566.84</v>
      </c>
      <c r="P7">
        <v>598.84</v>
      </c>
      <c r="Q7">
        <v>631.75</v>
      </c>
      <c r="R7">
        <v>636.37</v>
      </c>
      <c r="S7">
        <v>635.84</v>
      </c>
      <c r="T7">
        <v>653.88</v>
      </c>
      <c r="U7">
        <v>698.84</v>
      </c>
      <c r="V7">
        <v>672.75</v>
      </c>
      <c r="W7">
        <v>723.07</v>
      </c>
      <c r="X7">
        <v>727.5</v>
      </c>
      <c r="Y7">
        <v>752.59</v>
      </c>
      <c r="Z7">
        <v>791.2</v>
      </c>
      <c r="AA7">
        <v>823.61</v>
      </c>
      <c r="AB7">
        <v>809.35</v>
      </c>
      <c r="AC7">
        <v>820.77</v>
      </c>
      <c r="AD7">
        <v>830.27</v>
      </c>
      <c r="AE7">
        <v>850.33</v>
      </c>
      <c r="AF7">
        <v>873.03</v>
      </c>
      <c r="AG7">
        <v>787.04</v>
      </c>
      <c r="AH7">
        <v>824.81</v>
      </c>
    </row>
    <row r="8" spans="1:34">
      <c r="A8" t="s">
        <v>9</v>
      </c>
      <c r="B8" t="s">
        <v>13</v>
      </c>
      <c r="C8">
        <v>425.13</v>
      </c>
      <c r="D8">
        <v>418.78</v>
      </c>
      <c r="E8">
        <v>432.19</v>
      </c>
      <c r="F8">
        <v>427.31</v>
      </c>
      <c r="G8">
        <v>442.34</v>
      </c>
      <c r="H8">
        <v>453.88</v>
      </c>
      <c r="I8">
        <v>467.79</v>
      </c>
      <c r="J8">
        <v>482.77</v>
      </c>
      <c r="K8">
        <v>491.59</v>
      </c>
      <c r="L8">
        <v>500.88</v>
      </c>
      <c r="M8">
        <v>520.85</v>
      </c>
      <c r="N8">
        <v>513.65</v>
      </c>
      <c r="O8">
        <v>530.07000000000005</v>
      </c>
      <c r="P8">
        <v>548.42999999999995</v>
      </c>
      <c r="Q8">
        <v>540.85</v>
      </c>
      <c r="R8">
        <v>554.63</v>
      </c>
      <c r="S8">
        <v>545.53</v>
      </c>
      <c r="T8">
        <v>576.26</v>
      </c>
      <c r="U8">
        <v>556.13</v>
      </c>
      <c r="V8">
        <v>526.11</v>
      </c>
      <c r="W8">
        <v>542.84</v>
      </c>
      <c r="X8">
        <v>554.30999999999995</v>
      </c>
      <c r="Y8">
        <v>550.85</v>
      </c>
      <c r="Z8">
        <v>559.77</v>
      </c>
      <c r="AA8">
        <v>565.53</v>
      </c>
      <c r="AB8">
        <v>562.19000000000005</v>
      </c>
      <c r="AC8">
        <v>559.99</v>
      </c>
      <c r="AD8">
        <v>571.57000000000005</v>
      </c>
      <c r="AE8">
        <v>584.65</v>
      </c>
      <c r="AF8">
        <v>576.76</v>
      </c>
      <c r="AG8">
        <v>514.11</v>
      </c>
      <c r="AH8">
        <v>522.26</v>
      </c>
    </row>
    <row r="9" spans="1:34">
      <c r="A9" t="s">
        <v>4</v>
      </c>
      <c r="B9" t="s">
        <v>13</v>
      </c>
      <c r="C9">
        <v>4975.18</v>
      </c>
      <c r="D9">
        <v>4944.41</v>
      </c>
      <c r="E9">
        <v>5023.4399999999996</v>
      </c>
      <c r="F9">
        <v>5127.53</v>
      </c>
      <c r="G9">
        <v>5196.84</v>
      </c>
      <c r="H9">
        <v>5254.81</v>
      </c>
      <c r="I9">
        <v>5408</v>
      </c>
      <c r="J9">
        <v>5669.96</v>
      </c>
      <c r="K9">
        <v>5716.91</v>
      </c>
      <c r="L9">
        <v>5749.42</v>
      </c>
      <c r="M9">
        <v>5923.25</v>
      </c>
      <c r="N9">
        <v>5862.46</v>
      </c>
      <c r="O9">
        <v>5731.77</v>
      </c>
      <c r="P9">
        <v>5781.98</v>
      </c>
      <c r="Q9">
        <v>5879.45</v>
      </c>
      <c r="R9">
        <v>5904.93</v>
      </c>
      <c r="S9">
        <v>5811.32</v>
      </c>
      <c r="T9">
        <v>5904.33</v>
      </c>
      <c r="U9">
        <v>5712.39</v>
      </c>
      <c r="V9">
        <v>5297.45</v>
      </c>
      <c r="W9">
        <v>5540.76</v>
      </c>
      <c r="X9">
        <v>5318.98</v>
      </c>
      <c r="Y9">
        <v>5075.1099999999997</v>
      </c>
      <c r="Z9">
        <v>5210.1000000000004</v>
      </c>
      <c r="AA9">
        <v>5225.76</v>
      </c>
      <c r="AB9">
        <v>5114.76</v>
      </c>
      <c r="AC9">
        <v>5031.03</v>
      </c>
      <c r="AD9">
        <v>4967.24</v>
      </c>
      <c r="AE9">
        <v>5114.79</v>
      </c>
      <c r="AF9">
        <v>4966.2299999999996</v>
      </c>
      <c r="AG9">
        <v>4416.1499999999996</v>
      </c>
      <c r="AH9">
        <v>4722.2299999999996</v>
      </c>
    </row>
    <row r="10" spans="1:34">
      <c r="A10" t="s">
        <v>14</v>
      </c>
      <c r="B10" t="s">
        <v>15</v>
      </c>
    </row>
    <row r="12" spans="1:34">
      <c r="A12" t="s">
        <v>11</v>
      </c>
      <c r="B12" t="s">
        <v>12</v>
      </c>
      <c r="C12">
        <v>1990</v>
      </c>
      <c r="D12">
        <v>1991</v>
      </c>
      <c r="E12">
        <v>1992</v>
      </c>
      <c r="F12">
        <v>1993</v>
      </c>
      <c r="G12">
        <v>1994</v>
      </c>
      <c r="H12">
        <v>1995</v>
      </c>
      <c r="I12">
        <v>1996</v>
      </c>
      <c r="J12">
        <v>1997</v>
      </c>
      <c r="K12">
        <v>1998</v>
      </c>
      <c r="L12">
        <v>1999</v>
      </c>
      <c r="M12">
        <v>2000</v>
      </c>
      <c r="N12">
        <v>2001</v>
      </c>
      <c r="O12">
        <v>2002</v>
      </c>
      <c r="P12">
        <v>2003</v>
      </c>
      <c r="Q12">
        <v>2004</v>
      </c>
      <c r="R12">
        <v>2005</v>
      </c>
      <c r="S12">
        <v>2006</v>
      </c>
      <c r="T12">
        <v>2007</v>
      </c>
      <c r="U12">
        <v>2008</v>
      </c>
      <c r="V12">
        <v>2009</v>
      </c>
      <c r="W12">
        <v>2010</v>
      </c>
      <c r="X12">
        <v>2011</v>
      </c>
      <c r="Y12">
        <v>2012</v>
      </c>
      <c r="Z12">
        <v>2013</v>
      </c>
      <c r="AA12">
        <v>2014</v>
      </c>
      <c r="AB12">
        <v>2015</v>
      </c>
      <c r="AC12">
        <v>2016</v>
      </c>
      <c r="AD12">
        <v>2017</v>
      </c>
      <c r="AE12">
        <v>2018</v>
      </c>
      <c r="AF12">
        <v>2019</v>
      </c>
      <c r="AG12">
        <v>2020</v>
      </c>
      <c r="AH12">
        <v>2021</v>
      </c>
    </row>
    <row r="13" spans="1:34">
      <c r="A13" t="s">
        <v>16</v>
      </c>
      <c r="B13" t="s">
        <v>13</v>
      </c>
      <c r="C13">
        <v>21297.11</v>
      </c>
      <c r="D13">
        <v>21454.18</v>
      </c>
      <c r="E13">
        <v>21404.71</v>
      </c>
      <c r="F13">
        <v>21547.45</v>
      </c>
      <c r="G13">
        <v>21694.25</v>
      </c>
      <c r="H13">
        <v>22317.43</v>
      </c>
      <c r="I13">
        <v>22798.57</v>
      </c>
      <c r="J13">
        <v>23220.76</v>
      </c>
      <c r="K13">
        <v>23384.67</v>
      </c>
      <c r="L13">
        <v>23553.91</v>
      </c>
      <c r="M13">
        <v>24302.33</v>
      </c>
      <c r="N13">
        <v>24666.34</v>
      </c>
      <c r="O13">
        <v>25011.01</v>
      </c>
      <c r="P13">
        <v>26154.89</v>
      </c>
      <c r="Q13">
        <v>27355.21</v>
      </c>
      <c r="R13">
        <v>28397</v>
      </c>
      <c r="S13">
        <v>29332.47</v>
      </c>
      <c r="T13">
        <v>30445.09</v>
      </c>
      <c r="U13">
        <v>30662.5</v>
      </c>
      <c r="V13">
        <v>30280.639999999999</v>
      </c>
      <c r="W13">
        <v>32140.15</v>
      </c>
      <c r="X13">
        <v>33123</v>
      </c>
      <c r="Y13">
        <v>33500</v>
      </c>
      <c r="Z13">
        <v>34167.49</v>
      </c>
      <c r="AA13">
        <v>34291.01</v>
      </c>
      <c r="AB13">
        <v>34104.75</v>
      </c>
      <c r="AC13">
        <v>34200.370000000003</v>
      </c>
      <c r="AD13">
        <v>34729.69</v>
      </c>
      <c r="AE13">
        <v>35569.42</v>
      </c>
      <c r="AF13">
        <v>35575.61</v>
      </c>
      <c r="AG13">
        <v>33646.42</v>
      </c>
      <c r="AH13">
        <v>35540.43</v>
      </c>
    </row>
    <row r="14" spans="1:34">
      <c r="A14" t="s">
        <v>14</v>
      </c>
      <c r="B14" t="s">
        <v>17</v>
      </c>
    </row>
    <row r="16" spans="1:34">
      <c r="A16" s="12" t="s">
        <v>18</v>
      </c>
    </row>
    <row r="17" spans="1:34">
      <c r="A17" s="11" t="s">
        <v>11</v>
      </c>
      <c r="B17" s="12" t="s">
        <v>12</v>
      </c>
      <c r="C17" s="12">
        <v>1990</v>
      </c>
      <c r="D17" s="12">
        <v>1991</v>
      </c>
      <c r="E17" s="12">
        <v>1992</v>
      </c>
      <c r="F17" s="12">
        <v>1993</v>
      </c>
      <c r="G17" s="12">
        <v>1994</v>
      </c>
      <c r="H17" s="12">
        <v>1995</v>
      </c>
      <c r="I17" s="12">
        <v>1996</v>
      </c>
      <c r="J17" s="12">
        <v>1997</v>
      </c>
      <c r="K17" s="12">
        <v>1998</v>
      </c>
      <c r="L17" s="12">
        <v>1999</v>
      </c>
      <c r="M17" s="12">
        <v>2000</v>
      </c>
      <c r="N17" s="12">
        <v>2001</v>
      </c>
      <c r="O17" s="12">
        <v>2002</v>
      </c>
      <c r="P17" s="12">
        <v>2003</v>
      </c>
      <c r="Q17" s="12">
        <v>2004</v>
      </c>
      <c r="R17" s="12">
        <v>2005</v>
      </c>
      <c r="S17" s="12">
        <v>2006</v>
      </c>
      <c r="T17" s="12">
        <v>2007</v>
      </c>
      <c r="U17" s="12">
        <v>2008</v>
      </c>
      <c r="V17" s="12">
        <v>2009</v>
      </c>
      <c r="W17" s="12">
        <v>2010</v>
      </c>
      <c r="X17" s="12">
        <v>2011</v>
      </c>
      <c r="Y17" s="12">
        <v>2012</v>
      </c>
      <c r="Z17" s="12">
        <v>2013</v>
      </c>
      <c r="AA17" s="12">
        <v>2014</v>
      </c>
      <c r="AB17" s="12">
        <v>2015</v>
      </c>
      <c r="AC17" s="12">
        <v>2016</v>
      </c>
      <c r="AD17" s="12">
        <v>2017</v>
      </c>
      <c r="AE17" s="12">
        <v>2018</v>
      </c>
      <c r="AF17" s="12">
        <v>2019</v>
      </c>
      <c r="AG17" s="12">
        <v>2020</v>
      </c>
      <c r="AH17" s="12">
        <v>2021</v>
      </c>
    </row>
    <row r="18" spans="1:34">
      <c r="A18" s="11" t="s">
        <v>19</v>
      </c>
      <c r="B18" s="12" t="s">
        <v>13</v>
      </c>
      <c r="C18" s="12">
        <f>C13-SUM(C2:C9)</f>
        <v>347.39000000000306</v>
      </c>
      <c r="D18" s="12">
        <f t="shared" ref="D18:AH18" si="0">D13-SUM(D2:D9)</f>
        <v>355.27000000000044</v>
      </c>
      <c r="E18" s="12">
        <f t="shared" si="0"/>
        <v>246.11999999999898</v>
      </c>
      <c r="F18" s="12">
        <f t="shared" si="0"/>
        <v>260.11999999999898</v>
      </c>
      <c r="G18" s="12">
        <f t="shared" si="0"/>
        <v>266.34000000000015</v>
      </c>
      <c r="H18" s="12">
        <f t="shared" si="0"/>
        <v>280.16999999999825</v>
      </c>
      <c r="I18" s="12">
        <f t="shared" si="0"/>
        <v>286.55999999999767</v>
      </c>
      <c r="J18" s="12">
        <f t="shared" si="0"/>
        <v>304.2599999999984</v>
      </c>
      <c r="K18" s="12">
        <f t="shared" si="0"/>
        <v>328.63999999999578</v>
      </c>
      <c r="L18" s="12">
        <f t="shared" si="0"/>
        <v>349.18999999999869</v>
      </c>
      <c r="M18" s="12">
        <f t="shared" si="0"/>
        <v>367.29999999999927</v>
      </c>
      <c r="N18" s="12">
        <f t="shared" si="0"/>
        <v>369.94999999999709</v>
      </c>
      <c r="O18" s="12">
        <f t="shared" si="0"/>
        <v>371.61000000000058</v>
      </c>
      <c r="P18" s="12">
        <f t="shared" si="0"/>
        <v>391.56000000000131</v>
      </c>
      <c r="Q18" s="12">
        <f t="shared" si="0"/>
        <v>407.73999999999796</v>
      </c>
      <c r="R18" s="12">
        <f t="shared" si="0"/>
        <v>417.87999999999738</v>
      </c>
      <c r="S18" s="12">
        <f t="shared" si="0"/>
        <v>429.88000000000466</v>
      </c>
      <c r="T18" s="12">
        <f t="shared" si="0"/>
        <v>440.43999999999869</v>
      </c>
      <c r="U18" s="12">
        <f t="shared" si="0"/>
        <v>419.56000000000131</v>
      </c>
      <c r="V18" s="12">
        <f t="shared" si="0"/>
        <v>418.40999999999985</v>
      </c>
      <c r="W18" s="12">
        <f t="shared" si="0"/>
        <v>439.58000000000175</v>
      </c>
      <c r="X18" s="12">
        <f t="shared" si="0"/>
        <v>432.04000000000087</v>
      </c>
      <c r="Y18" s="12">
        <f t="shared" si="0"/>
        <v>427.13999999999942</v>
      </c>
      <c r="Z18" s="12">
        <f t="shared" si="0"/>
        <v>430.64999999999418</v>
      </c>
      <c r="AA18" s="12">
        <f t="shared" si="0"/>
        <v>435.16999999999825</v>
      </c>
      <c r="AB18" s="12">
        <f t="shared" si="0"/>
        <v>437.40000000000146</v>
      </c>
      <c r="AC18" s="12">
        <f t="shared" si="0"/>
        <v>449.48999999999796</v>
      </c>
      <c r="AD18" s="12">
        <f t="shared" si="0"/>
        <v>453.56000000000495</v>
      </c>
      <c r="AE18" s="12">
        <f t="shared" si="0"/>
        <v>447.76000000000204</v>
      </c>
      <c r="AF18" s="12">
        <f t="shared" si="0"/>
        <v>434.4800000000032</v>
      </c>
      <c r="AG18" s="12">
        <f t="shared" si="0"/>
        <v>400.43999999999505</v>
      </c>
      <c r="AH18" s="12">
        <f t="shared" si="0"/>
        <v>407.18999999999505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topLeftCell="A28" workbookViewId="0">
      <selection activeCell="J40" sqref="J40"/>
    </sheetView>
  </sheetViews>
  <sheetFormatPr defaultRowHeight="13.15"/>
  <sheetData>
    <row r="1" spans="1:3" ht="18">
      <c r="A1" s="1" t="s">
        <v>20</v>
      </c>
    </row>
    <row r="2" spans="1:3" ht="18">
      <c r="A2" s="1"/>
    </row>
    <row r="3" spans="1:3" ht="14.45">
      <c r="A3" s="2" t="s">
        <v>21</v>
      </c>
      <c r="B3" s="3"/>
      <c r="C3" s="3"/>
    </row>
    <row r="5" spans="1:3" ht="14.45">
      <c r="A5" s="6" t="s">
        <v>22</v>
      </c>
    </row>
    <row r="6" spans="1:3" ht="14.45">
      <c r="A6" s="6" t="s">
        <v>23</v>
      </c>
    </row>
    <row r="7" spans="1:3" ht="14.45">
      <c r="A7" s="6"/>
      <c r="B7" s="6"/>
    </row>
    <row r="8" spans="1:3" ht="14.45">
      <c r="A8" s="2" t="s">
        <v>24</v>
      </c>
      <c r="B8" s="3"/>
      <c r="C8" s="3"/>
    </row>
    <row r="10" spans="1:3" s="4" customFormat="1" ht="14.45">
      <c r="A10" s="4" t="s">
        <v>25</v>
      </c>
    </row>
    <row r="11" spans="1:3" s="4" customFormat="1" ht="14.45">
      <c r="A11" s="4" t="s">
        <v>26</v>
      </c>
    </row>
    <row r="12" spans="1:3" s="4" customFormat="1" ht="14.45"/>
    <row r="13" spans="1:3" s="4" customFormat="1" ht="14.45">
      <c r="A13" s="4" t="s">
        <v>27</v>
      </c>
    </row>
    <row r="14" spans="1:3" s="4" customFormat="1" ht="14.45">
      <c r="C14" s="9" t="s">
        <v>28</v>
      </c>
    </row>
    <row r="15" spans="1:3" s="4" customFormat="1" ht="14.45">
      <c r="C15" s="9" t="s">
        <v>29</v>
      </c>
    </row>
    <row r="16" spans="1:3" s="4" customFormat="1" ht="14.45">
      <c r="C16" s="9" t="s">
        <v>30</v>
      </c>
    </row>
    <row r="17" spans="1:3" s="4" customFormat="1" ht="14.45">
      <c r="C17" s="9" t="s">
        <v>31</v>
      </c>
    </row>
    <row r="18" spans="1:3" s="4" customFormat="1" ht="14.45">
      <c r="C18" s="9" t="s">
        <v>32</v>
      </c>
    </row>
    <row r="19" spans="1:3" s="4" customFormat="1" ht="14.45">
      <c r="C19" s="9" t="s">
        <v>33</v>
      </c>
    </row>
    <row r="20" spans="1:3" s="4" customFormat="1" ht="14.45">
      <c r="C20" s="13" t="s">
        <v>34</v>
      </c>
    </row>
    <row r="21" spans="1:3" s="4" customFormat="1" ht="14.45">
      <c r="C21" s="13"/>
    </row>
    <row r="22" spans="1:3" s="4" customFormat="1" ht="14.45">
      <c r="A22" s="4" t="s">
        <v>35</v>
      </c>
      <c r="C22" s="13"/>
    </row>
    <row r="23" spans="1:3" s="4" customFormat="1" ht="14.45">
      <c r="A23" s="4" t="s">
        <v>36</v>
      </c>
      <c r="C23" s="13"/>
    </row>
    <row r="24" spans="1:3" s="4" customFormat="1" ht="14.45">
      <c r="A24" s="4" t="s">
        <v>37</v>
      </c>
      <c r="C24" s="13"/>
    </row>
    <row r="25" spans="1:3" s="4" customFormat="1" ht="14.45">
      <c r="C25" s="13"/>
    </row>
    <row r="26" spans="1:3" s="4" customFormat="1" ht="14.45">
      <c r="C26" s="9" t="s">
        <v>28</v>
      </c>
    </row>
    <row r="27" spans="1:3" s="4" customFormat="1" ht="14.45">
      <c r="C27" s="9" t="s">
        <v>38</v>
      </c>
    </row>
    <row r="28" spans="1:3" s="4" customFormat="1" ht="14.45">
      <c r="C28" s="9" t="s">
        <v>39</v>
      </c>
    </row>
    <row r="29" spans="1:3" s="4" customFormat="1" ht="14.45">
      <c r="C29" s="9" t="s">
        <v>31</v>
      </c>
    </row>
    <row r="30" spans="1:3" s="4" customFormat="1" ht="14.45">
      <c r="C30" s="9" t="s">
        <v>32</v>
      </c>
    </row>
    <row r="31" spans="1:3" s="4" customFormat="1" ht="14.45">
      <c r="C31" s="9" t="s">
        <v>33</v>
      </c>
    </row>
    <row r="32" spans="1:3" s="4" customFormat="1" ht="14.45">
      <c r="C32" s="13" t="s">
        <v>34</v>
      </c>
    </row>
    <row r="33" spans="1:3" s="4" customFormat="1" ht="14.45"/>
    <row r="34" spans="1:3" ht="14.45">
      <c r="A34" s="2" t="s">
        <v>40</v>
      </c>
      <c r="B34" s="3"/>
      <c r="C34" s="3"/>
    </row>
    <row r="35" spans="1:3" ht="14.45">
      <c r="A35" s="5"/>
      <c r="B35" s="4"/>
    </row>
    <row r="36" spans="1:3" ht="14.45">
      <c r="A36" s="4" t="s">
        <v>41</v>
      </c>
    </row>
    <row r="37" spans="1:3" ht="14.45">
      <c r="A37" s="4" t="s">
        <v>42</v>
      </c>
    </row>
    <row r="38" spans="1:3" s="4" customFormat="1" ht="14.45">
      <c r="A38" s="4" t="s">
        <v>43</v>
      </c>
    </row>
    <row r="39" spans="1:3" s="4" customFormat="1" ht="14.45">
      <c r="A39" s="4" t="s">
        <v>44</v>
      </c>
    </row>
    <row r="40" spans="1:3" s="4" customFormat="1" ht="14.45">
      <c r="A40" s="4" t="s">
        <v>45</v>
      </c>
    </row>
  </sheetData>
  <phoneticPr fontId="4"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C2FA4749D13C4D8B63736A9D95688A" ma:contentTypeVersion="17" ma:contentTypeDescription="Create a new document." ma:contentTypeScope="" ma:versionID="578c655ecc84879846c98f19573eba7e">
  <xsd:schema xmlns:xsd="http://www.w3.org/2001/XMLSchema" xmlns:xs="http://www.w3.org/2001/XMLSchema" xmlns:p="http://schemas.microsoft.com/office/2006/metadata/properties" xmlns:ns2="11d857ff-f4c9-431c-b3f0-894cf5d81aa2" xmlns:ns3="924ddb61-764c-4703-9da6-ddf852dc8a22" targetNamespace="http://schemas.microsoft.com/office/2006/metadata/properties" ma:root="true" ma:fieldsID="e4057c1f2022873f23a3a8e83f192bb7" ns2:_="" ns3:_="">
    <xsd:import namespace="11d857ff-f4c9-431c-b3f0-894cf5d81aa2"/>
    <xsd:import namespace="924ddb61-764c-4703-9da6-ddf852dc8a2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Notes0"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d857ff-f4c9-431c-b3f0-894cf5d81aa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015fc1ea-0df6-4181-8ca9-e6627910bc6f}" ma:internalName="TaxCatchAll" ma:showField="CatchAllData" ma:web="11d857ff-f4c9-431c-b3f0-894cf5d81a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24ddb61-764c-4703-9da6-ddf852dc8a2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Notes0" ma:index="12" nillable="true" ma:displayName="Notes" ma:internalName="Notes0">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896de28-cb53-43b9-a38b-bef149b2430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4ddb61-764c-4703-9da6-ddf852dc8a22">
      <Terms xmlns="http://schemas.microsoft.com/office/infopath/2007/PartnerControls"/>
    </lcf76f155ced4ddcb4097134ff3c332f>
    <Notes0 xmlns="924ddb61-764c-4703-9da6-ddf852dc8a22" xsi:nil="true"/>
    <TaxCatchAll xmlns="11d857ff-f4c9-431c-b3f0-894cf5d81aa2" xsi:nil="true"/>
  </documentManagement>
</p:properties>
</file>

<file path=customXml/itemProps1.xml><?xml version="1.0" encoding="utf-8"?>
<ds:datastoreItem xmlns:ds="http://schemas.openxmlformats.org/officeDocument/2006/customXml" ds:itemID="{77E22C42-F9E1-4CEF-B968-8D59213FE363}"/>
</file>

<file path=customXml/itemProps2.xml><?xml version="1.0" encoding="utf-8"?>
<ds:datastoreItem xmlns:ds="http://schemas.openxmlformats.org/officeDocument/2006/customXml" ds:itemID="{E43EE6E0-5485-4E97-BEDC-33AC0D0536EB}"/>
</file>

<file path=customXml/itemProps3.xml><?xml version="1.0" encoding="utf-8"?>
<ds:datastoreItem xmlns:ds="http://schemas.openxmlformats.org/officeDocument/2006/customXml" ds:itemID="{C4303B61-C3D0-4B22-9DD3-CA9947145D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SdeJesus</dc:creator>
  <cp:keywords/>
  <dc:description/>
  <cp:lastModifiedBy>Bacanskas.Lisa_epa.gov#EXT#@erg.com</cp:lastModifiedBy>
  <cp:revision/>
  <dcterms:created xsi:type="dcterms:W3CDTF">2009-02-17T16:30:22Z</dcterms:created>
  <dcterms:modified xsi:type="dcterms:W3CDTF">2025-12-29T21:02:28Z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0x01010055C2FA4749D13C4D8B63736A9D95688A</vt:lpwstr>
  </property>
  <property fmtid="{D5CDD505-2E9C-101B-9397-08002B2CF9AE}" pid="3" name="MediaServiceImageTags">
    <vt:lpwstr/>
  </property>
</Properties>
</file>