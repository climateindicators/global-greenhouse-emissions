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K:\PROJECTS\EPA\Climate_Indicators.Lamie.LEX\INDICATORS\Global GHG Emissions\data\"/>
    </mc:Choice>
  </mc:AlternateContent>
  <xr:revisionPtr revIDLastSave="0" documentId="13_ncr:1_{7F0FC2C5-C993-4C4D-BDC8-C1CB3B986674}" xr6:coauthVersionLast="47" xr6:coauthVersionMax="47" xr10:uidLastSave="{00000000-0000-0000-0000-000000000000}"/>
  <bookViews>
    <workbookView xWindow="-108" yWindow="-108" windowWidth="23256" windowHeight="12456" activeTab="1" xr2:uid="{00000000-000D-0000-FFFF-FFFF00000000}"/>
  </bookViews>
  <sheets>
    <sheet name="Figure 2" sheetId="4" r:id="rId1"/>
    <sheet name="Data for Figure" sheetId="5" r:id="rId2"/>
    <sheet name="Original Data-Climate Watch" sheetId="7" r:id="rId3"/>
    <sheet name="Methods and Notes" sheetId="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 i="5" l="1"/>
  <c r="E12" i="5" s="1"/>
  <c r="E4" i="5"/>
  <c r="D4" i="5"/>
  <c r="I9" i="5" l="1"/>
  <c r="I8" i="5"/>
  <c r="I7" i="5"/>
  <c r="I6" i="5"/>
  <c r="I5" i="5"/>
  <c r="I4" i="5"/>
  <c r="H9" i="5"/>
  <c r="H12" i="5" s="1"/>
  <c r="H8" i="5"/>
  <c r="H7" i="5"/>
  <c r="H6" i="5"/>
  <c r="H5" i="5"/>
  <c r="H4" i="5"/>
  <c r="G9" i="5"/>
  <c r="G12" i="5" s="1"/>
  <c r="G8" i="5"/>
  <c r="G7" i="5"/>
  <c r="G6" i="5"/>
  <c r="G5" i="5"/>
  <c r="G4" i="5"/>
  <c r="F9" i="5"/>
  <c r="F8" i="5"/>
  <c r="F7" i="5"/>
  <c r="F6" i="5"/>
  <c r="F5" i="5"/>
  <c r="F4" i="5"/>
  <c r="E8" i="5"/>
  <c r="E7" i="5"/>
  <c r="E6" i="5"/>
  <c r="E5" i="5"/>
  <c r="D9" i="5"/>
  <c r="D8" i="5"/>
  <c r="D7" i="5"/>
  <c r="D6" i="5"/>
  <c r="D5" i="5"/>
  <c r="F12" i="5" l="1"/>
  <c r="C9" i="5"/>
  <c r="D12" i="5"/>
  <c r="I12" i="5"/>
  <c r="N5" i="5"/>
  <c r="M5" i="5"/>
  <c r="Q8" i="5"/>
  <c r="C4" i="5"/>
  <c r="C5" i="5"/>
  <c r="T5" i="5" s="1"/>
  <c r="C6" i="5"/>
  <c r="T6" i="5" s="1"/>
  <c r="C7" i="5"/>
  <c r="T7" i="5" s="1"/>
  <c r="C8" i="5"/>
  <c r="T8" i="5" s="1"/>
  <c r="R8" i="5" l="1"/>
  <c r="Q6" i="5"/>
  <c r="N6" i="5"/>
  <c r="P6" i="5"/>
  <c r="M6" i="5"/>
  <c r="O7" i="5"/>
  <c r="C12" i="5"/>
  <c r="N8" i="5"/>
  <c r="N7" i="5"/>
  <c r="Q5" i="5"/>
  <c r="O8" i="5"/>
  <c r="M7" i="5"/>
  <c r="R5" i="5"/>
  <c r="R6" i="5"/>
  <c r="Q7" i="5"/>
  <c r="P8" i="5"/>
  <c r="O6" i="5"/>
  <c r="M8" i="5"/>
  <c r="R7" i="5"/>
  <c r="P5" i="5"/>
  <c r="O5" i="5"/>
  <c r="P7" i="5"/>
  <c r="M9" i="5"/>
  <c r="O9" i="5"/>
  <c r="P9" i="5"/>
  <c r="Q9" i="5"/>
  <c r="R9" i="5"/>
  <c r="T9" i="5"/>
  <c r="N9" i="5"/>
  <c r="T4" i="5"/>
  <c r="M4" i="5"/>
  <c r="L9" i="5"/>
  <c r="Q4" i="5"/>
  <c r="P4" i="5"/>
  <c r="L4" i="5"/>
  <c r="N4" i="5"/>
  <c r="O4" i="5"/>
  <c r="R4" i="5"/>
  <c r="L8" i="5"/>
  <c r="L6" i="5"/>
  <c r="L5" i="5"/>
  <c r="L7" i="5"/>
</calcChain>
</file>

<file path=xl/sharedStrings.xml><?xml version="1.0" encoding="utf-8"?>
<sst xmlns="http://schemas.openxmlformats.org/spreadsheetml/2006/main" count="89" uniqueCount="57">
  <si>
    <t>Energy</t>
  </si>
  <si>
    <t>Agriculture</t>
  </si>
  <si>
    <t>Waste</t>
  </si>
  <si>
    <t>Total</t>
  </si>
  <si>
    <t>World</t>
  </si>
  <si>
    <t>Industrial processes</t>
  </si>
  <si>
    <t>Methods and Notes</t>
  </si>
  <si>
    <t>Check</t>
  </si>
  <si>
    <t>International transport</t>
  </si>
  <si>
    <t>OBTAIN DATA</t>
  </si>
  <si>
    <t>GENERAL NOTES</t>
  </si>
  <si>
    <t>EPA Calculations</t>
  </si>
  <si>
    <t>Unit:</t>
  </si>
  <si>
    <t>MtCO2e</t>
  </si>
  <si>
    <t>Year</t>
  </si>
  <si>
    <t>EPA Calculation</t>
  </si>
  <si>
    <t>PROCESSING STEPS</t>
  </si>
  <si>
    <t>WORKSHEETS</t>
  </si>
  <si>
    <t>Land-use change and forestry</t>
  </si>
  <si>
    <t>Shows the figure for use in Inidcators report</t>
  </si>
  <si>
    <t>Data for Figure</t>
  </si>
  <si>
    <t>Figure 2</t>
  </si>
  <si>
    <t>Contains data used to develop Figure 2</t>
  </si>
  <si>
    <t>Contains notes on how Figure 2 was developed</t>
  </si>
  <si>
    <t>ERG downloaded the data from Climate Watch, "Historical GHG Emissions" (https://www.climatewatchdata.org/ghg-emissions). We used the following settings:</t>
  </si>
  <si>
    <t>- Countries/Regions: World</t>
  </si>
  <si>
    <t>- Calculations: Total</t>
  </si>
  <si>
    <t>- Chart Type: Line Chart</t>
  </si>
  <si>
    <t>- Gases: All GHG</t>
  </si>
  <si>
    <t>- Show Data by: Sectors</t>
  </si>
  <si>
    <t>Sector</t>
  </si>
  <si>
    <t>unit</t>
  </si>
  <si>
    <t>Bunker Fuels</t>
  </si>
  <si>
    <t>Industrial Processes</t>
  </si>
  <si>
    <t>Land-Use Change and Forestry</t>
  </si>
  <si>
    <t>Data source</t>
  </si>
  <si>
    <t>To get totals by sector:</t>
  </si>
  <si>
    <t>- Sectors/Subsectors: Total Including LUCF</t>
  </si>
  <si>
    <t>To get bunker fuel emissions:</t>
  </si>
  <si>
    <t>- Sectors/Subsectors: Bunker Fuels</t>
  </si>
  <si>
    <t>3) Copy green highlighted data into "Data for Figure" worksheet, but subtract out bunker fuel emissions from "Energy" sector total. Per confirmation with WRI, bunker fuel emissions are included within the Energy (Transportation subsector) emissions total for “World” so have to subtract them out of "Energy" sector so as not to double count.</t>
  </si>
  <si>
    <t>4) Rename "Bunker Fuels" to "International Transport."</t>
  </si>
  <si>
    <t>- Data Source: Climate Watch</t>
  </si>
  <si>
    <t>1) Access data according to "Obtain Data" instructions above, and copy into "Original Data-Climate Watch" worksheet.</t>
  </si>
  <si>
    <t>- Climate Watch Non-CO2 data come from EPA and are reported in 5-year intervals. Some countries have data annually, but per confirmation from EPA, we should only use 5-year interval data. Because Non-CO2 data is not an annual time series data set, Figure 2 is plotted on 5-year intervals (Climate Watch CO2 data predominately comes from IEA which is an annual time series; Climate Watch LUCF data comes from FAOSTAT which is also an annual time series. Agriculture emissions (CH4 and N2O) data are also sourced from FAOSTAT.</t>
  </si>
  <si>
    <t>Original Data-Climate Watch</t>
  </si>
  <si>
    <t>Climate Watch</t>
  </si>
  <si>
    <t>Data from WRI/Climate Watch</t>
  </si>
  <si>
    <t>Data needed for chart needs to include LUCF and bunker fuel emissions (Climate Watch says that bunker fuel emissions are included in transportation (and thus Energy) sector only for World, so bunker fuels should not be included in Sectors/Subsectors drop down when obtaining data).</t>
  </si>
  <si>
    <t>2) Highlight in green "Emissions by Sector" for the years 1990, 1995, 2000, 2005, 2010, and 2015 to indicate data for use in figure.</t>
  </si>
  <si>
    <t>5) Create a stacked column graph for years 1990-2015 in 5-year intervals.</t>
  </si>
  <si>
    <t>Copy of full "World" data from 1990-2015 from Climate Watch "Historical GHG Emissions" page.</t>
  </si>
  <si>
    <t>% change, '90-'15</t>
  </si>
  <si>
    <t>2016-2020 data is projected data because the Non-CO2 portion is projected</t>
  </si>
  <si>
    <t>Data last obtained by ERG on November 22, 2024</t>
  </si>
  <si>
    <t>As explained in Climate Watch's data methods (https://files.wri.org/d8/s3fs-public/2024-05/climate-watch-country-greenhouse-gas-emissions-data-methodology.pdf?VersionId=1geU96keSmqZlUjv41FNGB4CLpHQbruN), the "Energy" sector for "World" includes emissions from bunker fuels, so we also need to obtain bunker fuel emissions separately so that bunker fuels can be included as a separate component of the chart.</t>
  </si>
  <si>
    <t>Climate Watch data methods: https://files.wri.org/d8/s3fs-public/2024-05/climate-watch-country-greenhouse-gas-emissions-data-methodology.pdf?VersionId=1geU96keSmqZlUjv41FNGB4CLpHQbruN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</si>
</sst>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8" x14ac:knownFonts="1">
    <font>
      <sz val="10"/>
      <name val="Arial"/>
    </font>
    <font>
      <sz val="11"/>
      <color theme="1"/>
      <name val="Calibri"/>
      <family val="2"/>
      <scheme val="minor"/>
    </font>
    <font>
      <sz val="10"/>
      <name val="Arial"/>
      <family val="2"/>
    </font>
    <font>
      <sz val="8"/>
      <name val="Arial"/>
      <family val="2"/>
    </font>
    <font>
      <b/>
      <sz val="10"/>
      <name val="Arial"/>
      <family val="2"/>
    </font>
    <font>
      <b/>
      <sz val="11"/>
      <color theme="0"/>
      <name val="Calibri"/>
      <family val="2"/>
      <scheme val="minor"/>
    </font>
    <font>
      <b/>
      <sz val="8"/>
      <color theme="1"/>
      <name val="Calibri"/>
      <family val="2"/>
      <scheme val="minor"/>
    </font>
    <font>
      <sz val="8"/>
      <color theme="1"/>
      <name val="Calibri"/>
      <family val="2"/>
      <scheme val="minor"/>
    </font>
    <font>
      <b/>
      <sz val="14"/>
      <color theme="1"/>
      <name val="Calibri"/>
      <family val="2"/>
      <scheme val="minor"/>
    </font>
    <font>
      <sz val="11"/>
      <name val="Calibri"/>
      <family val="2"/>
      <scheme val="minor"/>
    </font>
    <font>
      <b/>
      <sz val="11"/>
      <name val="Calibri"/>
      <family val="2"/>
      <scheme val="minor"/>
    </font>
    <font>
      <sz val="10"/>
      <color theme="1"/>
      <name val="Candara"/>
      <family val="2"/>
    </font>
    <font>
      <sz val="10"/>
      <color indexed="8"/>
      <name val="Arial"/>
      <family val="2"/>
    </font>
    <font>
      <sz val="10"/>
      <color theme="1"/>
      <name val="Arial"/>
      <family val="2"/>
    </font>
    <font>
      <u/>
      <sz val="10"/>
      <color theme="10"/>
      <name val="Arial"/>
      <family val="2"/>
    </font>
    <font>
      <sz val="10"/>
      <name val="Arial"/>
      <family val="2"/>
    </font>
    <font>
      <sz val="11"/>
      <name val="Calibri"/>
      <family val="2"/>
    </font>
    <font>
      <sz val="16"/>
      <name val="Arial"/>
      <family val="2"/>
    </font>
  </fonts>
  <fills count="7">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3" tint="0.39997558519241921"/>
        <bgColor indexed="64"/>
      </patternFill>
    </fill>
    <fill>
      <patternFill patternType="solid">
        <fgColor theme="6"/>
        <bgColor indexed="64"/>
      </patternFill>
    </fill>
    <fill>
      <patternFill patternType="solid">
        <fgColor rgb="FFFFFF00"/>
        <bgColor indexed="64"/>
      </patternFill>
    </fill>
  </fills>
  <borders count="1">
    <border>
      <left/>
      <right/>
      <top/>
      <bottom/>
      <diagonal/>
    </border>
  </borders>
  <cellStyleXfs count="14">
    <xf numFmtId="0" fontId="0" fillId="0" borderId="0"/>
    <xf numFmtId="0" fontId="11" fillId="0" borderId="0"/>
    <xf numFmtId="0" fontId="1" fillId="0" borderId="0"/>
    <xf numFmtId="0" fontId="2" fillId="0" borderId="0"/>
    <xf numFmtId="43" fontId="2" fillId="0" borderId="0" applyFont="0" applyFill="0" applyBorder="0" applyAlignment="0" applyProtection="0"/>
    <xf numFmtId="0" fontId="13" fillId="0" borderId="0"/>
    <xf numFmtId="0" fontId="2" fillId="0" borderId="0"/>
    <xf numFmtId="9" fontId="2" fillId="0" borderId="0" applyFont="0" applyFill="0" applyBorder="0" applyAlignment="0" applyProtection="0"/>
    <xf numFmtId="0" fontId="2" fillId="0" borderId="0"/>
    <xf numFmtId="43" fontId="12" fillId="0" borderId="0" applyFont="0" applyFill="0" applyBorder="0" applyAlignment="0" applyProtection="0"/>
    <xf numFmtId="0" fontId="14" fillId="0" borderId="0" applyNumberFormat="0" applyFill="0" applyBorder="0" applyAlignment="0" applyProtection="0">
      <alignment vertical="top"/>
      <protection locked="0"/>
    </xf>
    <xf numFmtId="43" fontId="1" fillId="0" borderId="0" applyFont="0" applyFill="0" applyBorder="0" applyAlignment="0" applyProtection="0"/>
    <xf numFmtId="0" fontId="2" fillId="0" borderId="0"/>
    <xf numFmtId="9" fontId="15" fillId="0" borderId="0" applyFont="0" applyFill="0" applyBorder="0" applyAlignment="0" applyProtection="0"/>
  </cellStyleXfs>
  <cellXfs count="37">
    <xf numFmtId="0" fontId="0" fillId="0" borderId="0" xfId="0"/>
    <xf numFmtId="0" fontId="2" fillId="0" borderId="0" xfId="0" applyFont="1"/>
    <xf numFmtId="0" fontId="6" fillId="0" borderId="0" xfId="0" applyFont="1" applyAlignment="1">
      <alignment horizontal="left"/>
    </xf>
    <xf numFmtId="0" fontId="0" fillId="0" borderId="0" xfId="0" applyAlignment="1">
      <alignment wrapText="1"/>
    </xf>
    <xf numFmtId="0" fontId="6" fillId="0" borderId="0" xfId="0" applyFont="1" applyAlignment="1">
      <alignment horizontal="left" wrapText="1"/>
    </xf>
    <xf numFmtId="0" fontId="7" fillId="0" borderId="0" xfId="0" applyFont="1"/>
    <xf numFmtId="0" fontId="7" fillId="0" borderId="0" xfId="0" applyFont="1" applyAlignment="1">
      <alignment horizontal="center"/>
    </xf>
    <xf numFmtId="0" fontId="6" fillId="0" borderId="0" xfId="2" applyFont="1" applyAlignment="1">
      <alignment wrapText="1"/>
    </xf>
    <xf numFmtId="164" fontId="7" fillId="0" borderId="0" xfId="11" applyNumberFormat="1" applyFont="1"/>
    <xf numFmtId="43" fontId="7" fillId="0" borderId="0" xfId="2" applyNumberFormat="1" applyFont="1" applyAlignment="1">
      <alignment horizontal="center"/>
    </xf>
    <xf numFmtId="43" fontId="0" fillId="0" borderId="0" xfId="0" applyNumberFormat="1"/>
    <xf numFmtId="164" fontId="0" fillId="0" borderId="0" xfId="0" applyNumberFormat="1"/>
    <xf numFmtId="0" fontId="8" fillId="0" borderId="0" xfId="0" applyFont="1"/>
    <xf numFmtId="0" fontId="5" fillId="4" borderId="0" xfId="0" applyFont="1" applyFill="1"/>
    <xf numFmtId="0" fontId="0" fillId="4" borderId="0" xfId="0" applyFill="1"/>
    <xf numFmtId="0" fontId="9" fillId="0" borderId="0" xfId="0" applyFont="1"/>
    <xf numFmtId="0" fontId="10" fillId="0" borderId="0" xfId="0" applyFont="1" applyAlignment="1">
      <alignment horizontal="left" vertical="top"/>
    </xf>
    <xf numFmtId="9" fontId="0" fillId="0" borderId="0" xfId="13" applyFont="1"/>
    <xf numFmtId="9" fontId="0" fillId="0" borderId="0" xfId="13" applyFont="1" applyFill="1"/>
    <xf numFmtId="0" fontId="9" fillId="0" borderId="0" xfId="0" quotePrefix="1" applyFont="1"/>
    <xf numFmtId="0" fontId="9" fillId="4" borderId="0" xfId="0" applyFont="1" applyFill="1"/>
    <xf numFmtId="9" fontId="0" fillId="0" borderId="0" xfId="0" applyNumberFormat="1"/>
    <xf numFmtId="0" fontId="16" fillId="0" borderId="0" xfId="0" quotePrefix="1" applyFont="1" applyAlignment="1">
      <alignment vertical="center"/>
    </xf>
    <xf numFmtId="0" fontId="16" fillId="0" borderId="0" xfId="0" quotePrefix="1" applyFont="1"/>
    <xf numFmtId="0" fontId="9" fillId="0" borderId="0" xfId="0" applyFont="1" applyAlignment="1">
      <alignment horizontal="left"/>
    </xf>
    <xf numFmtId="0" fontId="9" fillId="0" borderId="0" xfId="0" applyFont="1" applyAlignment="1">
      <alignment horizontal="left" wrapText="1"/>
    </xf>
    <xf numFmtId="0" fontId="2" fillId="0" borderId="0" xfId="0" applyFont="1" applyAlignment="1">
      <alignment wrapText="1"/>
    </xf>
    <xf numFmtId="0" fontId="0" fillId="5" borderId="0" xfId="0" applyFill="1"/>
    <xf numFmtId="4" fontId="0" fillId="0" borderId="0" xfId="0" applyNumberFormat="1"/>
    <xf numFmtId="0" fontId="17" fillId="6" borderId="0" xfId="0" applyFont="1" applyFill="1"/>
    <xf numFmtId="0" fontId="0" fillId="6" borderId="0" xfId="0" applyFill="1"/>
    <xf numFmtId="0" fontId="17" fillId="0" borderId="0" xfId="0" applyFont="1"/>
    <xf numFmtId="0" fontId="4" fillId="2" borderId="0" xfId="0" applyFont="1" applyFill="1" applyAlignment="1">
      <alignment horizontal="center"/>
    </xf>
    <xf numFmtId="0" fontId="2" fillId="0" borderId="0" xfId="0" applyFont="1" applyAlignment="1">
      <alignment horizontal="center"/>
    </xf>
    <xf numFmtId="0" fontId="4" fillId="3" borderId="0" xfId="0" applyFont="1" applyFill="1" applyAlignment="1">
      <alignment horizontal="center"/>
    </xf>
    <xf numFmtId="0" fontId="9" fillId="0" borderId="0" xfId="0" quotePrefix="1" applyFont="1" applyAlignment="1">
      <alignment horizontal="left" wrapText="1"/>
    </xf>
    <xf numFmtId="0" fontId="9" fillId="0" borderId="0" xfId="0" applyFont="1" applyAlignment="1">
      <alignment horizontal="left" wrapText="1"/>
    </xf>
  </cellXfs>
  <cellStyles count="14">
    <cellStyle name="Comma 2" xfId="9" xr:uid="{00000000-0005-0000-0000-000000000000}"/>
    <cellStyle name="Comma 3" xfId="4" xr:uid="{00000000-0005-0000-0000-000001000000}"/>
    <cellStyle name="Comma 4" xfId="11" xr:uid="{00000000-0005-0000-0000-000002000000}"/>
    <cellStyle name="Hyperlink 2" xfId="10" xr:uid="{00000000-0005-0000-0000-000003000000}"/>
    <cellStyle name="Normal" xfId="0" builtinId="0"/>
    <cellStyle name="Normal 2" xfId="1" xr:uid="{00000000-0005-0000-0000-000005000000}"/>
    <cellStyle name="Normal 2 2" xfId="5" xr:uid="{00000000-0005-0000-0000-000006000000}"/>
    <cellStyle name="Normal 3" xfId="6" xr:uid="{00000000-0005-0000-0000-000007000000}"/>
    <cellStyle name="Normal 4" xfId="8" xr:uid="{00000000-0005-0000-0000-000008000000}"/>
    <cellStyle name="Normal 5" xfId="3" xr:uid="{00000000-0005-0000-0000-000009000000}"/>
    <cellStyle name="Normal 6" xfId="2" xr:uid="{00000000-0005-0000-0000-00000A000000}"/>
    <cellStyle name="Normal 7" xfId="12" xr:uid="{00000000-0005-0000-0000-00000B000000}"/>
    <cellStyle name="Percent" xfId="13" builtinId="5"/>
    <cellStyle name="Percent 2" xfId="7" xr:uid="{00000000-0005-0000-0000-00000D000000}"/>
  </cellStyles>
  <dxfs count="0"/>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2.xml"/><Relationship Id="rId7"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3.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2. Global Greenhouse Gas Emissions by Sector, 1990–2015</a:t>
            </a:r>
          </a:p>
        </c:rich>
      </c:tx>
      <c:layout>
        <c:manualLayout>
          <c:xMode val="edge"/>
          <c:yMode val="edge"/>
          <c:x val="0.12652608213096572"/>
          <c:y val="1.9575856443719428E-2"/>
        </c:manualLayout>
      </c:layout>
      <c:overlay val="0"/>
      <c:spPr>
        <a:noFill/>
        <a:ln w="25400">
          <a:noFill/>
        </a:ln>
      </c:spPr>
    </c:title>
    <c:autoTitleDeleted val="0"/>
    <c:plotArea>
      <c:layout>
        <c:manualLayout>
          <c:layoutTarget val="inner"/>
          <c:xMode val="edge"/>
          <c:yMode val="edge"/>
          <c:x val="0.11542730299667039"/>
          <c:y val="0.12778684067427951"/>
          <c:w val="0.72031076581575948"/>
          <c:h val="0.77161500815660733"/>
        </c:manualLayout>
      </c:layout>
      <c:barChart>
        <c:barDir val="col"/>
        <c:grouping val="stacked"/>
        <c:varyColors val="0"/>
        <c:ser>
          <c:idx val="0"/>
          <c:order val="0"/>
          <c:tx>
            <c:strRef>
              <c:f>'Data for Figure'!$D$3</c:f>
              <c:strCache>
                <c:ptCount val="1"/>
                <c:pt idx="0">
                  <c:v>Energy</c:v>
                </c:pt>
              </c:strCache>
            </c:strRef>
          </c:tx>
          <c:spPr>
            <a:solidFill>
              <a:srgbClr val="99CCFF"/>
            </a:solidFill>
            <a:ln w="12700">
              <a:solidFill>
                <a:srgbClr val="000000"/>
              </a:solidFill>
              <a:prstDash val="solid"/>
            </a:ln>
          </c:spPr>
          <c:invertIfNegative val="0"/>
          <c:cat>
            <c:numRef>
              <c:f>'Data for Figure'!$B$4:$B$9</c:f>
              <c:numCache>
                <c:formatCode>General</c:formatCode>
                <c:ptCount val="6"/>
                <c:pt idx="0">
                  <c:v>1990</c:v>
                </c:pt>
                <c:pt idx="1">
                  <c:v>1995</c:v>
                </c:pt>
                <c:pt idx="2">
                  <c:v>2000</c:v>
                </c:pt>
                <c:pt idx="3">
                  <c:v>2005</c:v>
                </c:pt>
                <c:pt idx="4">
                  <c:v>2010</c:v>
                </c:pt>
                <c:pt idx="5">
                  <c:v>2015</c:v>
                </c:pt>
              </c:numCache>
            </c:numRef>
          </c:cat>
          <c:val>
            <c:numRef>
              <c:f>'Data for Figure'!$D$4:$D$9</c:f>
              <c:numCache>
                <c:formatCode>_(* #,##0_);_(* \(#,##0\);_(* "-"??_);_(@_)</c:formatCode>
                <c:ptCount val="6"/>
                <c:pt idx="0">
                  <c:v>22726.949999999997</c:v>
                </c:pt>
                <c:pt idx="1">
                  <c:v>23516.969999999998</c:v>
                </c:pt>
                <c:pt idx="2">
                  <c:v>25421.120000000003</c:v>
                </c:pt>
                <c:pt idx="3">
                  <c:v>29538.57</c:v>
                </c:pt>
                <c:pt idx="4">
                  <c:v>33090.9</c:v>
                </c:pt>
                <c:pt idx="5">
                  <c:v>34962.5</c:v>
                </c:pt>
              </c:numCache>
            </c:numRef>
          </c:val>
          <c:extLst>
            <c:ext xmlns:c16="http://schemas.microsoft.com/office/drawing/2014/chart" uri="{C3380CC4-5D6E-409C-BE32-E72D297353CC}">
              <c16:uniqueId val="{00000000-EC9B-4246-BF20-7BD826D976B9}"/>
            </c:ext>
          </c:extLst>
        </c:ser>
        <c:ser>
          <c:idx val="5"/>
          <c:order val="1"/>
          <c:tx>
            <c:strRef>
              <c:f>'Data for Figure'!$E$3</c:f>
              <c:strCache>
                <c:ptCount val="1"/>
                <c:pt idx="0">
                  <c:v>International transport</c:v>
                </c:pt>
              </c:strCache>
            </c:strRef>
          </c:tx>
          <c:spPr>
            <a:solidFill>
              <a:srgbClr val="FF6600"/>
            </a:solidFill>
            <a:ln w="12700">
              <a:solidFill>
                <a:srgbClr val="000000"/>
              </a:solidFill>
              <a:prstDash val="solid"/>
            </a:ln>
          </c:spPr>
          <c:invertIfNegative val="0"/>
          <c:cat>
            <c:numRef>
              <c:f>'Data for Figure'!$B$4:$B$9</c:f>
              <c:numCache>
                <c:formatCode>General</c:formatCode>
                <c:ptCount val="6"/>
                <c:pt idx="0">
                  <c:v>1990</c:v>
                </c:pt>
                <c:pt idx="1">
                  <c:v>1995</c:v>
                </c:pt>
                <c:pt idx="2">
                  <c:v>2000</c:v>
                </c:pt>
                <c:pt idx="3">
                  <c:v>2005</c:v>
                </c:pt>
                <c:pt idx="4">
                  <c:v>2010</c:v>
                </c:pt>
                <c:pt idx="5">
                  <c:v>2015</c:v>
                </c:pt>
              </c:numCache>
            </c:numRef>
          </c:cat>
          <c:val>
            <c:numRef>
              <c:f>'Data for Figure'!$E$4:$E$9</c:f>
              <c:numCache>
                <c:formatCode>_(* #,##0_);_(* \(#,##0\);_(* "-"??_);_(@_)</c:formatCode>
                <c:ptCount val="6"/>
                <c:pt idx="0">
                  <c:v>637.9</c:v>
                </c:pt>
                <c:pt idx="1">
                  <c:v>728.45</c:v>
                </c:pt>
                <c:pt idx="2">
                  <c:v>866.69</c:v>
                </c:pt>
                <c:pt idx="3">
                  <c:v>1010.99</c:v>
                </c:pt>
                <c:pt idx="4">
                  <c:v>1139.42</c:v>
                </c:pt>
                <c:pt idx="5">
                  <c:v>1210.0999999999999</c:v>
                </c:pt>
              </c:numCache>
            </c:numRef>
          </c:val>
          <c:extLst>
            <c:ext xmlns:c16="http://schemas.microsoft.com/office/drawing/2014/chart" uri="{C3380CC4-5D6E-409C-BE32-E72D297353CC}">
              <c16:uniqueId val="{00000001-EC9B-4246-BF20-7BD826D976B9}"/>
            </c:ext>
          </c:extLst>
        </c:ser>
        <c:ser>
          <c:idx val="1"/>
          <c:order val="2"/>
          <c:tx>
            <c:strRef>
              <c:f>'Data for Figure'!$F$3</c:f>
              <c:strCache>
                <c:ptCount val="1"/>
                <c:pt idx="0">
                  <c:v>Agriculture</c:v>
                </c:pt>
              </c:strCache>
            </c:strRef>
          </c:tx>
          <c:spPr>
            <a:solidFill>
              <a:srgbClr val="969696"/>
            </a:solidFill>
            <a:ln w="12700">
              <a:solidFill>
                <a:srgbClr val="000000"/>
              </a:solidFill>
              <a:prstDash val="solid"/>
            </a:ln>
          </c:spPr>
          <c:invertIfNegative val="0"/>
          <c:cat>
            <c:numRef>
              <c:f>'Data for Figure'!$B$4:$B$9</c:f>
              <c:numCache>
                <c:formatCode>General</c:formatCode>
                <c:ptCount val="6"/>
                <c:pt idx="0">
                  <c:v>1990</c:v>
                </c:pt>
                <c:pt idx="1">
                  <c:v>1995</c:v>
                </c:pt>
                <c:pt idx="2">
                  <c:v>2000</c:v>
                </c:pt>
                <c:pt idx="3">
                  <c:v>2005</c:v>
                </c:pt>
                <c:pt idx="4">
                  <c:v>2010</c:v>
                </c:pt>
                <c:pt idx="5">
                  <c:v>2015</c:v>
                </c:pt>
              </c:numCache>
            </c:numRef>
          </c:cat>
          <c:val>
            <c:numRef>
              <c:f>'Data for Figure'!$F$4:$F$9</c:f>
              <c:numCache>
                <c:formatCode>_(* #,##0_);_(* \(#,##0\);_(* "-"??_);_(@_)</c:formatCode>
                <c:ptCount val="6"/>
                <c:pt idx="0">
                  <c:v>4975.5200000000004</c:v>
                </c:pt>
                <c:pt idx="1">
                  <c:v>5005.76</c:v>
                </c:pt>
                <c:pt idx="2">
                  <c:v>5074.21</c:v>
                </c:pt>
                <c:pt idx="3">
                  <c:v>5282.57</c:v>
                </c:pt>
                <c:pt idx="4">
                  <c:v>5487.85</c:v>
                </c:pt>
                <c:pt idx="5">
                  <c:v>5657.04</c:v>
                </c:pt>
              </c:numCache>
            </c:numRef>
          </c:val>
          <c:extLst>
            <c:ext xmlns:c16="http://schemas.microsoft.com/office/drawing/2014/chart" uri="{C3380CC4-5D6E-409C-BE32-E72D297353CC}">
              <c16:uniqueId val="{00000002-EC9B-4246-BF20-7BD826D976B9}"/>
            </c:ext>
          </c:extLst>
        </c:ser>
        <c:ser>
          <c:idx val="2"/>
          <c:order val="3"/>
          <c:tx>
            <c:strRef>
              <c:f>'Data for Figure'!$G$3</c:f>
              <c:strCache>
                <c:ptCount val="1"/>
                <c:pt idx="0">
                  <c:v>Industrial processes</c:v>
                </c:pt>
              </c:strCache>
            </c:strRef>
          </c:tx>
          <c:spPr>
            <a:solidFill>
              <a:srgbClr val="CC99FF"/>
            </a:solidFill>
            <a:ln w="12700">
              <a:solidFill>
                <a:srgbClr val="000000"/>
              </a:solidFill>
              <a:prstDash val="solid"/>
            </a:ln>
          </c:spPr>
          <c:invertIfNegative val="0"/>
          <c:cat>
            <c:numRef>
              <c:f>'Data for Figure'!$B$4:$B$9</c:f>
              <c:numCache>
                <c:formatCode>General</c:formatCode>
                <c:ptCount val="6"/>
                <c:pt idx="0">
                  <c:v>1990</c:v>
                </c:pt>
                <c:pt idx="1">
                  <c:v>1995</c:v>
                </c:pt>
                <c:pt idx="2">
                  <c:v>2000</c:v>
                </c:pt>
                <c:pt idx="3">
                  <c:v>2005</c:v>
                </c:pt>
                <c:pt idx="4">
                  <c:v>2010</c:v>
                </c:pt>
                <c:pt idx="5">
                  <c:v>2015</c:v>
                </c:pt>
              </c:numCache>
            </c:numRef>
          </c:cat>
          <c:val>
            <c:numRef>
              <c:f>'Data for Figure'!$G$4:$G$9</c:f>
              <c:numCache>
                <c:formatCode>_(* #,##0_);_(* \(#,##0\);_(* "-"??_);_(@_)</c:formatCode>
                <c:ptCount val="6"/>
                <c:pt idx="0">
                  <c:v>1003.53</c:v>
                </c:pt>
                <c:pt idx="1">
                  <c:v>1222.18</c:v>
                </c:pt>
                <c:pt idx="2">
                  <c:v>1396.22</c:v>
                </c:pt>
                <c:pt idx="3">
                  <c:v>1746.61</c:v>
                </c:pt>
                <c:pt idx="4">
                  <c:v>2237.2600000000002</c:v>
                </c:pt>
                <c:pt idx="5">
                  <c:v>2699.83</c:v>
                </c:pt>
              </c:numCache>
            </c:numRef>
          </c:val>
          <c:extLst>
            <c:ext xmlns:c16="http://schemas.microsoft.com/office/drawing/2014/chart" uri="{C3380CC4-5D6E-409C-BE32-E72D297353CC}">
              <c16:uniqueId val="{00000003-EC9B-4246-BF20-7BD826D976B9}"/>
            </c:ext>
          </c:extLst>
        </c:ser>
        <c:ser>
          <c:idx val="4"/>
          <c:order val="4"/>
          <c:tx>
            <c:strRef>
              <c:f>'Data for Figure'!$H$3</c:f>
              <c:strCache>
                <c:ptCount val="1"/>
                <c:pt idx="0">
                  <c:v>Waste</c:v>
                </c:pt>
              </c:strCache>
            </c:strRef>
          </c:tx>
          <c:spPr>
            <a:solidFill>
              <a:srgbClr val="99CC00"/>
            </a:solidFill>
            <a:ln w="12700">
              <a:solidFill>
                <a:srgbClr val="000000"/>
              </a:solidFill>
              <a:prstDash val="solid"/>
            </a:ln>
          </c:spPr>
          <c:invertIfNegative val="0"/>
          <c:cat>
            <c:numRef>
              <c:f>'Data for Figure'!$B$4:$B$9</c:f>
              <c:numCache>
                <c:formatCode>General</c:formatCode>
                <c:ptCount val="6"/>
                <c:pt idx="0">
                  <c:v>1990</c:v>
                </c:pt>
                <c:pt idx="1">
                  <c:v>1995</c:v>
                </c:pt>
                <c:pt idx="2">
                  <c:v>2000</c:v>
                </c:pt>
                <c:pt idx="3">
                  <c:v>2005</c:v>
                </c:pt>
                <c:pt idx="4">
                  <c:v>2010</c:v>
                </c:pt>
                <c:pt idx="5">
                  <c:v>2015</c:v>
                </c:pt>
              </c:numCache>
            </c:numRef>
          </c:cat>
          <c:val>
            <c:numRef>
              <c:f>'Data for Figure'!$H$4:$H$9</c:f>
              <c:numCache>
                <c:formatCode>_(* #,##0_);_(* \(#,##0\);_(* "-"??_);_(@_)</c:formatCode>
                <c:ptCount val="6"/>
                <c:pt idx="0">
                  <c:v>1364.4</c:v>
                </c:pt>
                <c:pt idx="1">
                  <c:v>1476.51</c:v>
                </c:pt>
                <c:pt idx="2">
                  <c:v>1466.76</c:v>
                </c:pt>
                <c:pt idx="3">
                  <c:v>1422.66</c:v>
                </c:pt>
                <c:pt idx="4">
                  <c:v>1465.13</c:v>
                </c:pt>
                <c:pt idx="5">
                  <c:v>1543.59</c:v>
                </c:pt>
              </c:numCache>
            </c:numRef>
          </c:val>
          <c:extLst>
            <c:ext xmlns:c16="http://schemas.microsoft.com/office/drawing/2014/chart" uri="{C3380CC4-5D6E-409C-BE32-E72D297353CC}">
              <c16:uniqueId val="{00000004-EC9B-4246-BF20-7BD826D976B9}"/>
            </c:ext>
          </c:extLst>
        </c:ser>
        <c:ser>
          <c:idx val="3"/>
          <c:order val="5"/>
          <c:tx>
            <c:strRef>
              <c:f>'Data for Figure'!$I$3</c:f>
              <c:strCache>
                <c:ptCount val="1"/>
                <c:pt idx="0">
                  <c:v>Land-use change and forestry</c:v>
                </c:pt>
              </c:strCache>
            </c:strRef>
          </c:tx>
          <c:spPr>
            <a:solidFill>
              <a:schemeClr val="accent2"/>
            </a:solidFill>
            <a:ln w="15875">
              <a:solidFill>
                <a:schemeClr val="tx1"/>
              </a:solidFill>
            </a:ln>
          </c:spPr>
          <c:invertIfNegative val="0"/>
          <c:cat>
            <c:numRef>
              <c:f>'Data for Figure'!$B$4:$B$9</c:f>
              <c:numCache>
                <c:formatCode>General</c:formatCode>
                <c:ptCount val="6"/>
                <c:pt idx="0">
                  <c:v>1990</c:v>
                </c:pt>
                <c:pt idx="1">
                  <c:v>1995</c:v>
                </c:pt>
                <c:pt idx="2">
                  <c:v>2000</c:v>
                </c:pt>
                <c:pt idx="3">
                  <c:v>2005</c:v>
                </c:pt>
                <c:pt idx="4">
                  <c:v>2010</c:v>
                </c:pt>
                <c:pt idx="5">
                  <c:v>2015</c:v>
                </c:pt>
              </c:numCache>
            </c:numRef>
          </c:cat>
          <c:val>
            <c:numRef>
              <c:f>'Data for Figure'!$I$4:$I$9</c:f>
              <c:numCache>
                <c:formatCode>_(* #,##0_);_(* \(#,##0\);_(* "-"??_);_(@_)</c:formatCode>
                <c:ptCount val="6"/>
                <c:pt idx="0">
                  <c:v>2026.71</c:v>
                </c:pt>
                <c:pt idx="1">
                  <c:v>2032.42</c:v>
                </c:pt>
                <c:pt idx="2">
                  <c:v>1786.59</c:v>
                </c:pt>
                <c:pt idx="3">
                  <c:v>1789.26</c:v>
                </c:pt>
                <c:pt idx="4">
                  <c:v>1649.4</c:v>
                </c:pt>
                <c:pt idx="5">
                  <c:v>920.42</c:v>
                </c:pt>
              </c:numCache>
            </c:numRef>
          </c:val>
          <c:extLst>
            <c:ext xmlns:c16="http://schemas.microsoft.com/office/drawing/2014/chart" uri="{C3380CC4-5D6E-409C-BE32-E72D297353CC}">
              <c16:uniqueId val="{00000005-EC9B-4246-BF20-7BD826D976B9}"/>
            </c:ext>
          </c:extLst>
        </c:ser>
        <c:dLbls>
          <c:showLegendKey val="0"/>
          <c:showVal val="0"/>
          <c:showCatName val="0"/>
          <c:showSerName val="0"/>
          <c:showPercent val="0"/>
          <c:showBubbleSize val="0"/>
        </c:dLbls>
        <c:gapWidth val="92"/>
        <c:overlap val="100"/>
        <c:axId val="117975296"/>
        <c:axId val="117989760"/>
      </c:barChart>
      <c:catAx>
        <c:axId val="117975296"/>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Year</a:t>
                </a:r>
              </a:p>
            </c:rich>
          </c:tx>
          <c:layout>
            <c:manualLayout>
              <c:xMode val="edge"/>
              <c:yMode val="edge"/>
              <c:x val="0.45172031076581581"/>
              <c:y val="0.9526916802610120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1200" b="0" i="0" u="none" strike="noStrike" baseline="0">
                <a:solidFill>
                  <a:srgbClr val="000000"/>
                </a:solidFill>
                <a:latin typeface="Arial"/>
                <a:ea typeface="Arial"/>
                <a:cs typeface="Arial"/>
              </a:defRPr>
            </a:pPr>
            <a:endParaRPr lang="en-US"/>
          </a:p>
        </c:txPr>
        <c:crossAx val="117989760"/>
        <c:crosses val="autoZero"/>
        <c:auto val="1"/>
        <c:lblAlgn val="ctr"/>
        <c:lblOffset val="100"/>
        <c:tickLblSkip val="1"/>
        <c:tickMarkSkip val="1"/>
        <c:noMultiLvlLbl val="0"/>
      </c:catAx>
      <c:valAx>
        <c:axId val="117989760"/>
        <c:scaling>
          <c:orientation val="minMax"/>
          <c:max val="55000"/>
          <c:min val="0"/>
        </c:scaling>
        <c:delete val="0"/>
        <c:axPos val="l"/>
        <c:majorGridlines>
          <c:spPr>
            <a:ln w="3175">
              <a:solidFill>
                <a:srgbClr val="C0C0C0"/>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Emissions (million metric tons of carbon dioxide equivalents)</a:t>
                </a:r>
              </a:p>
            </c:rich>
          </c:tx>
          <c:layout>
            <c:manualLayout>
              <c:xMode val="edge"/>
              <c:yMode val="edge"/>
              <c:x val="1.4798372179060304E-2"/>
              <c:y val="0.1239804241435562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17975296"/>
        <c:crosses val="autoZero"/>
        <c:crossBetween val="between"/>
        <c:majorUnit val="10000"/>
      </c:valAx>
      <c:spPr>
        <a:noFill/>
        <a:ln w="38100">
          <a:solidFill>
            <a:srgbClr val="C0C0C0"/>
          </a:solidFill>
          <a:prstDash val="solid"/>
        </a:ln>
      </c:spPr>
    </c:plotArea>
    <c:legend>
      <c:legendPos val="r"/>
      <c:layout>
        <c:manualLayout>
          <c:xMode val="edge"/>
          <c:yMode val="edge"/>
          <c:x val="0.83980762116167218"/>
          <c:y val="0.24687330070690594"/>
          <c:w val="0.15131335553089165"/>
          <c:h val="0.40463894704842157"/>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2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sheetViews>
    <sheetView zoomScale="80" workbookViewId="0"/>
  </sheetViews>
  <pageMargins left="0.75" right="0.75" top="1" bottom="1" header="0.5" footer="0.5"/>
  <pageSetup orientation="landscape" r:id="rId1"/>
  <headerFooter alignWithMargins="0"/>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562975" cy="581977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2"/>
  <sheetViews>
    <sheetView tabSelected="1" workbookViewId="0">
      <selection activeCell="D9" sqref="D9"/>
    </sheetView>
  </sheetViews>
  <sheetFormatPr defaultRowHeight="13.2" x14ac:dyDescent="0.25"/>
  <cols>
    <col min="5" max="5" width="10.33203125" customWidth="1"/>
    <col min="14" max="14" width="10.109375" customWidth="1"/>
    <col min="20" max="20" width="12.88671875" bestFit="1" customWidth="1"/>
  </cols>
  <sheetData>
    <row r="1" spans="1:21" x14ac:dyDescent="0.25">
      <c r="A1" s="32" t="s">
        <v>47</v>
      </c>
      <c r="B1" s="32"/>
      <c r="C1" s="32"/>
      <c r="D1" s="32"/>
      <c r="E1" s="32"/>
      <c r="F1" s="32"/>
      <c r="G1" s="32"/>
      <c r="H1" s="32"/>
      <c r="I1" s="32"/>
      <c r="K1" s="34" t="s">
        <v>11</v>
      </c>
      <c r="L1" s="34"/>
      <c r="M1" s="34"/>
      <c r="N1" s="34"/>
      <c r="O1" s="34"/>
      <c r="P1" s="34"/>
      <c r="Q1" s="34"/>
      <c r="R1" s="34"/>
      <c r="S1" s="34"/>
      <c r="T1" s="34"/>
    </row>
    <row r="2" spans="1:21" x14ac:dyDescent="0.25">
      <c r="A2" s="2" t="s">
        <v>12</v>
      </c>
      <c r="B2" s="2" t="s">
        <v>13</v>
      </c>
      <c r="C2" s="1"/>
    </row>
    <row r="3" spans="1:21" ht="31.2" x14ac:dyDescent="0.25">
      <c r="A3" s="3"/>
      <c r="B3" s="4" t="s">
        <v>14</v>
      </c>
      <c r="C3" s="7" t="s">
        <v>3</v>
      </c>
      <c r="D3" s="7" t="s">
        <v>0</v>
      </c>
      <c r="E3" s="7" t="s">
        <v>8</v>
      </c>
      <c r="F3" s="7" t="s">
        <v>1</v>
      </c>
      <c r="G3" s="7" t="s">
        <v>5</v>
      </c>
      <c r="H3" s="7" t="s">
        <v>2</v>
      </c>
      <c r="I3" s="7" t="s">
        <v>18</v>
      </c>
      <c r="L3" s="7" t="s">
        <v>3</v>
      </c>
      <c r="M3" s="7" t="s">
        <v>0</v>
      </c>
      <c r="N3" s="7" t="s">
        <v>8</v>
      </c>
      <c r="O3" s="7" t="s">
        <v>1</v>
      </c>
      <c r="P3" s="7" t="s">
        <v>5</v>
      </c>
      <c r="Q3" s="7" t="s">
        <v>2</v>
      </c>
      <c r="R3" s="7" t="s">
        <v>18</v>
      </c>
      <c r="T3" s="7" t="s">
        <v>7</v>
      </c>
    </row>
    <row r="4" spans="1:21" x14ac:dyDescent="0.25">
      <c r="A4" s="5" t="s">
        <v>4</v>
      </c>
      <c r="B4" s="6">
        <v>1990</v>
      </c>
      <c r="C4" s="9">
        <f>SUM(D4:I4)</f>
        <v>32735.01</v>
      </c>
      <c r="D4" s="8">
        <f>'Original Data-Climate Watch'!C2-'Original Data-Climate Watch'!C10</f>
        <v>22726.949999999997</v>
      </c>
      <c r="E4" s="8">
        <f>'Original Data-Climate Watch'!C10</f>
        <v>637.9</v>
      </c>
      <c r="F4" s="8">
        <f>'Original Data-Climate Watch'!C4</f>
        <v>4975.5200000000004</v>
      </c>
      <c r="G4" s="8">
        <f>'Original Data-Climate Watch'!C3</f>
        <v>1003.53</v>
      </c>
      <c r="H4" s="8">
        <f>'Original Data-Climate Watch'!C5</f>
        <v>1364.4</v>
      </c>
      <c r="I4" s="8">
        <f>'Original Data-Climate Watch'!C6</f>
        <v>2026.71</v>
      </c>
      <c r="K4" s="6">
        <v>1990</v>
      </c>
      <c r="L4" s="18">
        <f>C4/$C4</f>
        <v>1</v>
      </c>
      <c r="M4" s="18">
        <f>D4/$C4</f>
        <v>0.69427044622867073</v>
      </c>
      <c r="N4" s="18">
        <f t="shared" ref="N4:R4" si="0">E4/$C4</f>
        <v>1.9486781888870663E-2</v>
      </c>
      <c r="O4" s="18">
        <f t="shared" si="0"/>
        <v>0.15199384389984913</v>
      </c>
      <c r="P4" s="18">
        <f t="shared" si="0"/>
        <v>3.0656169037370083E-2</v>
      </c>
      <c r="Q4" s="18">
        <f t="shared" si="0"/>
        <v>4.1680146118788418E-2</v>
      </c>
      <c r="R4" s="18">
        <f t="shared" si="0"/>
        <v>6.1912612826450948E-2</v>
      </c>
      <c r="S4" s="21"/>
      <c r="T4" s="11" t="str">
        <f>IF(SUM(D4:I4)=C4,"Totals Match","NO MATCH")</f>
        <v>Totals Match</v>
      </c>
      <c r="U4" s="10"/>
    </row>
    <row r="5" spans="1:21" x14ac:dyDescent="0.25">
      <c r="A5" s="5" t="s">
        <v>4</v>
      </c>
      <c r="B5" s="6">
        <v>1995</v>
      </c>
      <c r="C5" s="9">
        <f t="shared" ref="C5:C8" si="1">SUM(D5:I5)</f>
        <v>33982.29</v>
      </c>
      <c r="D5" s="8">
        <f>'Original Data-Climate Watch'!H2-'Original Data-Climate Watch'!H10</f>
        <v>23516.969999999998</v>
      </c>
      <c r="E5" s="8">
        <f>'Original Data-Climate Watch'!H10</f>
        <v>728.45</v>
      </c>
      <c r="F5" s="8">
        <f>'Original Data-Climate Watch'!H4</f>
        <v>5005.76</v>
      </c>
      <c r="G5" s="8">
        <f>'Original Data-Climate Watch'!H3</f>
        <v>1222.18</v>
      </c>
      <c r="H5" s="8">
        <f>'Original Data-Climate Watch'!H5</f>
        <v>1476.51</v>
      </c>
      <c r="I5" s="8">
        <f>'Original Data-Climate Watch'!H6</f>
        <v>2032.42</v>
      </c>
      <c r="K5" s="6">
        <v>1995</v>
      </c>
      <c r="L5" s="18">
        <f t="shared" ref="L5:L8" si="2">C5/$C5</f>
        <v>1</v>
      </c>
      <c r="M5" s="18">
        <f t="shared" ref="M5:M9" si="3">D5/$C5</f>
        <v>0.69203605760529963</v>
      </c>
      <c r="N5" s="18">
        <f t="shared" ref="N5:N9" si="4">E5/$C5</f>
        <v>2.1436165720438501E-2</v>
      </c>
      <c r="O5" s="18">
        <f t="shared" ref="O5:O9" si="5">F5/$C5</f>
        <v>0.14730496385028791</v>
      </c>
      <c r="P5" s="18">
        <f t="shared" ref="P5:P9" si="6">G5/$C5</f>
        <v>3.5965204228437811E-2</v>
      </c>
      <c r="Q5" s="18">
        <f t="shared" ref="Q5:Q9" si="7">H5/$C5</f>
        <v>4.344939672988489E-2</v>
      </c>
      <c r="R5" s="18">
        <f t="shared" ref="R5:R9" si="8">I5/$C5</f>
        <v>5.9808211865651197E-2</v>
      </c>
      <c r="S5" s="21"/>
      <c r="T5" s="11" t="str">
        <f t="shared" ref="T5:T9" si="9">IF(SUM(D5:I5)=C5,"Totals Match","NO MATCH")</f>
        <v>Totals Match</v>
      </c>
      <c r="U5" s="10"/>
    </row>
    <row r="6" spans="1:21" x14ac:dyDescent="0.25">
      <c r="A6" s="5" t="s">
        <v>4</v>
      </c>
      <c r="B6" s="6">
        <v>2000</v>
      </c>
      <c r="C6" s="9">
        <f t="shared" si="1"/>
        <v>36011.589999999997</v>
      </c>
      <c r="D6" s="8">
        <f>'Original Data-Climate Watch'!M2-'Original Data-Climate Watch'!M10</f>
        <v>25421.120000000003</v>
      </c>
      <c r="E6" s="8">
        <f>'Original Data-Climate Watch'!M10</f>
        <v>866.69</v>
      </c>
      <c r="F6" s="8">
        <f>'Original Data-Climate Watch'!M4</f>
        <v>5074.21</v>
      </c>
      <c r="G6" s="8">
        <f>'Original Data-Climate Watch'!M3</f>
        <v>1396.22</v>
      </c>
      <c r="H6" s="8">
        <f>'Original Data-Climate Watch'!M5</f>
        <v>1466.76</v>
      </c>
      <c r="I6" s="8">
        <f>'Original Data-Climate Watch'!M6</f>
        <v>1786.59</v>
      </c>
      <c r="K6" s="6">
        <v>2000</v>
      </c>
      <c r="L6" s="18">
        <f t="shared" si="2"/>
        <v>1</v>
      </c>
      <c r="M6" s="18">
        <f t="shared" si="3"/>
        <v>0.70591495682362271</v>
      </c>
      <c r="N6" s="18">
        <f t="shared" si="4"/>
        <v>2.4066973993650383E-2</v>
      </c>
      <c r="O6" s="18">
        <f t="shared" si="5"/>
        <v>0.14090491422344864</v>
      </c>
      <c r="P6" s="18">
        <f t="shared" si="6"/>
        <v>3.8771406649914658E-2</v>
      </c>
      <c r="Q6" s="18">
        <f t="shared" si="7"/>
        <v>4.0730220465133589E-2</v>
      </c>
      <c r="R6" s="18">
        <f t="shared" si="8"/>
        <v>4.9611527844230154E-2</v>
      </c>
      <c r="S6" s="21"/>
      <c r="T6" s="11" t="str">
        <f t="shared" si="9"/>
        <v>Totals Match</v>
      </c>
      <c r="U6" s="10"/>
    </row>
    <row r="7" spans="1:21" x14ac:dyDescent="0.25">
      <c r="A7" s="5" t="s">
        <v>4</v>
      </c>
      <c r="B7" s="6">
        <v>2005</v>
      </c>
      <c r="C7" s="9">
        <f t="shared" si="1"/>
        <v>40790.660000000011</v>
      </c>
      <c r="D7" s="8">
        <f>'Original Data-Climate Watch'!R2-'Original Data-Climate Watch'!R10</f>
        <v>29538.57</v>
      </c>
      <c r="E7" s="8">
        <f>'Original Data-Climate Watch'!R10</f>
        <v>1010.99</v>
      </c>
      <c r="F7" s="8">
        <f>'Original Data-Climate Watch'!R4</f>
        <v>5282.57</v>
      </c>
      <c r="G7" s="8">
        <f>'Original Data-Climate Watch'!R3</f>
        <v>1746.61</v>
      </c>
      <c r="H7" s="8">
        <f>'Original Data-Climate Watch'!R5</f>
        <v>1422.66</v>
      </c>
      <c r="I7" s="8">
        <f>'Original Data-Climate Watch'!R6</f>
        <v>1789.26</v>
      </c>
      <c r="K7" s="6">
        <v>2005</v>
      </c>
      <c r="L7" s="18">
        <f t="shared" si="2"/>
        <v>1</v>
      </c>
      <c r="M7" s="18">
        <f t="shared" si="3"/>
        <v>0.72415033245355653</v>
      </c>
      <c r="N7" s="18">
        <f t="shared" si="4"/>
        <v>2.4784840451220935E-2</v>
      </c>
      <c r="O7" s="18">
        <f t="shared" si="5"/>
        <v>0.12950440125263965</v>
      </c>
      <c r="P7" s="18">
        <f t="shared" si="6"/>
        <v>4.2818870790519187E-2</v>
      </c>
      <c r="Q7" s="18">
        <f t="shared" si="7"/>
        <v>3.4877101767904706E-2</v>
      </c>
      <c r="R7" s="18">
        <f t="shared" si="8"/>
        <v>4.3864453284158667E-2</v>
      </c>
      <c r="S7" s="21"/>
      <c r="T7" s="11" t="str">
        <f t="shared" si="9"/>
        <v>Totals Match</v>
      </c>
      <c r="U7" s="10"/>
    </row>
    <row r="8" spans="1:21" x14ac:dyDescent="0.25">
      <c r="A8" s="5" t="s">
        <v>4</v>
      </c>
      <c r="B8" s="6">
        <v>2010</v>
      </c>
      <c r="C8" s="9">
        <f t="shared" si="1"/>
        <v>45069.96</v>
      </c>
      <c r="D8" s="8">
        <f>'Original Data-Climate Watch'!W2-'Original Data-Climate Watch'!W10</f>
        <v>33090.9</v>
      </c>
      <c r="E8" s="8">
        <f>'Original Data-Climate Watch'!W10</f>
        <v>1139.42</v>
      </c>
      <c r="F8" s="8">
        <f>'Original Data-Climate Watch'!W4</f>
        <v>5487.85</v>
      </c>
      <c r="G8" s="8">
        <f>'Original Data-Climate Watch'!W3</f>
        <v>2237.2600000000002</v>
      </c>
      <c r="H8" s="8">
        <f>'Original Data-Climate Watch'!W5</f>
        <v>1465.13</v>
      </c>
      <c r="I8" s="8">
        <f>'Original Data-Climate Watch'!W6</f>
        <v>1649.4</v>
      </c>
      <c r="K8" s="6">
        <v>2010</v>
      </c>
      <c r="L8" s="18">
        <f t="shared" si="2"/>
        <v>1</v>
      </c>
      <c r="M8" s="18">
        <f t="shared" si="3"/>
        <v>0.73421187859940418</v>
      </c>
      <c r="N8" s="18">
        <f t="shared" si="4"/>
        <v>2.5281140697706414E-2</v>
      </c>
      <c r="O8" s="18">
        <f t="shared" si="5"/>
        <v>0.12176292146698156</v>
      </c>
      <c r="P8" s="18">
        <f t="shared" si="6"/>
        <v>4.9639715677582144E-2</v>
      </c>
      <c r="Q8" s="18">
        <f t="shared" si="7"/>
        <v>3.250790548738007E-2</v>
      </c>
      <c r="R8" s="18">
        <f t="shared" si="8"/>
        <v>3.6596438070945703E-2</v>
      </c>
      <c r="S8" s="21"/>
      <c r="T8" s="11" t="str">
        <f t="shared" si="9"/>
        <v>Totals Match</v>
      </c>
      <c r="U8" s="10"/>
    </row>
    <row r="9" spans="1:21" x14ac:dyDescent="0.25">
      <c r="A9" s="5" t="s">
        <v>4</v>
      </c>
      <c r="B9" s="6">
        <v>2015</v>
      </c>
      <c r="C9" s="9">
        <f>SUM(D9:I9)</f>
        <v>46993.479999999996</v>
      </c>
      <c r="D9" s="8">
        <f>'Original Data-Climate Watch'!AB2-'Original Data-Climate Watch'!AB10</f>
        <v>34962.5</v>
      </c>
      <c r="E9" s="8">
        <f>'Original Data-Climate Watch'!AB10</f>
        <v>1210.0999999999999</v>
      </c>
      <c r="F9" s="8">
        <f>'Original Data-Climate Watch'!AB4</f>
        <v>5657.04</v>
      </c>
      <c r="G9" s="8">
        <f>'Original Data-Climate Watch'!AB3</f>
        <v>2699.83</v>
      </c>
      <c r="H9" s="8">
        <f>'Original Data-Climate Watch'!AB5</f>
        <v>1543.59</v>
      </c>
      <c r="I9" s="8">
        <f>'Original Data-Climate Watch'!AB6</f>
        <v>920.42</v>
      </c>
      <c r="K9" s="6">
        <v>2015</v>
      </c>
      <c r="L9" s="18">
        <f t="shared" ref="L9" si="10">C9/$C9</f>
        <v>1</v>
      </c>
      <c r="M9" s="18">
        <f t="shared" si="3"/>
        <v>0.74398618701998664</v>
      </c>
      <c r="N9" s="18">
        <f t="shared" si="4"/>
        <v>2.5750380691108639E-2</v>
      </c>
      <c r="O9" s="18">
        <f t="shared" si="5"/>
        <v>0.12037925261121331</v>
      </c>
      <c r="P9" s="18">
        <f t="shared" si="6"/>
        <v>5.7451161310037052E-2</v>
      </c>
      <c r="Q9" s="18">
        <f t="shared" si="7"/>
        <v>3.2846897058911154E-2</v>
      </c>
      <c r="R9" s="18">
        <f t="shared" si="8"/>
        <v>1.9586121308743255E-2</v>
      </c>
      <c r="S9" s="21"/>
      <c r="T9" s="11" t="str">
        <f t="shared" si="9"/>
        <v>Totals Match</v>
      </c>
      <c r="U9" s="10"/>
    </row>
    <row r="10" spans="1:21" x14ac:dyDescent="0.25">
      <c r="A10" s="5"/>
      <c r="B10" s="6"/>
      <c r="C10" s="9"/>
      <c r="D10" s="8"/>
      <c r="E10" s="8"/>
      <c r="F10" s="8"/>
      <c r="G10" s="8"/>
      <c r="H10" s="8"/>
      <c r="I10" s="8"/>
      <c r="L10" s="18"/>
      <c r="M10" s="18"/>
      <c r="N10" s="18"/>
      <c r="O10" s="18"/>
      <c r="P10" s="18"/>
      <c r="Q10" s="18"/>
      <c r="R10" s="18"/>
      <c r="T10" s="11"/>
      <c r="U10" s="10"/>
    </row>
    <row r="11" spans="1:21" x14ac:dyDescent="0.25">
      <c r="A11" s="34" t="s">
        <v>15</v>
      </c>
      <c r="B11" s="34"/>
    </row>
    <row r="12" spans="1:21" x14ac:dyDescent="0.25">
      <c r="A12" s="33" t="s">
        <v>52</v>
      </c>
      <c r="B12" s="33"/>
      <c r="C12" s="17">
        <f>(C9-C4)/C4</f>
        <v>0.43557249562471489</v>
      </c>
      <c r="D12" s="17">
        <f t="shared" ref="D12:H12" si="11">(D9-D4)/D4</f>
        <v>0.53837184488019751</v>
      </c>
      <c r="E12" s="17">
        <f t="shared" si="11"/>
        <v>0.8970058002821758</v>
      </c>
      <c r="F12" s="17">
        <f t="shared" si="11"/>
        <v>0.13697462777759903</v>
      </c>
      <c r="G12" s="17">
        <f t="shared" si="11"/>
        <v>1.6903331240720258</v>
      </c>
      <c r="H12" s="17">
        <f t="shared" si="11"/>
        <v>0.1313324538258574</v>
      </c>
      <c r="I12" s="17">
        <f>(I9-I4)/I4</f>
        <v>-0.54585510507176649</v>
      </c>
    </row>
    <row r="16" spans="1:21" ht="20.399999999999999" x14ac:dyDescent="0.35">
      <c r="B16" s="31"/>
      <c r="C16" s="28"/>
    </row>
    <row r="17" spans="3:3" x14ac:dyDescent="0.25">
      <c r="C17" s="28"/>
    </row>
    <row r="18" spans="3:3" x14ac:dyDescent="0.25">
      <c r="C18" s="28"/>
    </row>
    <row r="19" spans="3:3" x14ac:dyDescent="0.25">
      <c r="C19" s="28"/>
    </row>
    <row r="20" spans="3:3" x14ac:dyDescent="0.25">
      <c r="C20" s="28"/>
    </row>
    <row r="21" spans="3:3" x14ac:dyDescent="0.25">
      <c r="C21" s="28"/>
    </row>
    <row r="22" spans="3:3" x14ac:dyDescent="0.25">
      <c r="C22" s="28"/>
    </row>
  </sheetData>
  <mergeCells count="4">
    <mergeCell ref="A1:I1"/>
    <mergeCell ref="A12:B12"/>
    <mergeCell ref="A11:B11"/>
    <mergeCell ref="K1:T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B59DC-A4A6-419B-81B1-091917D4FFE6}">
  <dimension ref="A1:AK16"/>
  <sheetViews>
    <sheetView topLeftCell="I1" workbookViewId="0">
      <selection activeCell="AB21" sqref="AB21"/>
    </sheetView>
  </sheetViews>
  <sheetFormatPr defaultRowHeight="13.2" x14ac:dyDescent="0.25"/>
  <cols>
    <col min="1" max="1" width="27.33203125" bestFit="1" customWidth="1"/>
    <col min="2" max="2" width="7.88671875" bestFit="1" customWidth="1"/>
    <col min="3" max="3" width="12.5546875" bestFit="1" customWidth="1"/>
    <col min="4" max="7" width="9" bestFit="1" customWidth="1"/>
  </cols>
  <sheetData>
    <row r="1" spans="1:37" x14ac:dyDescent="0.25">
      <c r="A1" t="s">
        <v>30</v>
      </c>
      <c r="B1" t="s">
        <v>31</v>
      </c>
      <c r="C1" s="27">
        <v>1990</v>
      </c>
      <c r="D1">
        <v>1991</v>
      </c>
      <c r="E1">
        <v>1992</v>
      </c>
      <c r="F1">
        <v>1993</v>
      </c>
      <c r="G1">
        <v>1994</v>
      </c>
      <c r="H1" s="27">
        <v>1995</v>
      </c>
      <c r="I1">
        <v>1996</v>
      </c>
      <c r="J1">
        <v>1997</v>
      </c>
      <c r="K1">
        <v>1998</v>
      </c>
      <c r="L1">
        <v>1999</v>
      </c>
      <c r="M1" s="27">
        <v>2000</v>
      </c>
      <c r="N1">
        <v>2001</v>
      </c>
      <c r="O1">
        <v>2002</v>
      </c>
      <c r="P1">
        <v>2003</v>
      </c>
      <c r="Q1">
        <v>2004</v>
      </c>
      <c r="R1" s="27">
        <v>2005</v>
      </c>
      <c r="S1">
        <v>2006</v>
      </c>
      <c r="T1">
        <v>2007</v>
      </c>
      <c r="U1">
        <v>2008</v>
      </c>
      <c r="V1">
        <v>2009</v>
      </c>
      <c r="W1" s="27">
        <v>2010</v>
      </c>
      <c r="X1">
        <v>2011</v>
      </c>
      <c r="Y1">
        <v>2012</v>
      </c>
      <c r="Z1">
        <v>2013</v>
      </c>
      <c r="AA1">
        <v>2014</v>
      </c>
      <c r="AB1" s="27">
        <v>2015</v>
      </c>
      <c r="AC1" s="30">
        <v>2016</v>
      </c>
      <c r="AD1" s="30">
        <v>2017</v>
      </c>
      <c r="AE1" s="30">
        <v>2018</v>
      </c>
      <c r="AF1" s="30">
        <v>2019</v>
      </c>
      <c r="AG1" s="30">
        <v>2020</v>
      </c>
      <c r="AH1" s="30">
        <v>2021</v>
      </c>
    </row>
    <row r="2" spans="1:37" x14ac:dyDescent="0.25">
      <c r="A2" t="s">
        <v>0</v>
      </c>
      <c r="B2" t="s">
        <v>13</v>
      </c>
      <c r="C2" s="27">
        <v>23364.85</v>
      </c>
      <c r="D2">
        <v>23505.38</v>
      </c>
      <c r="E2">
        <v>23380.55</v>
      </c>
      <c r="F2">
        <v>23503.34</v>
      </c>
      <c r="G2">
        <v>23592.68</v>
      </c>
      <c r="H2" s="27">
        <v>24245.42</v>
      </c>
      <c r="I2">
        <v>24756.95</v>
      </c>
      <c r="J2">
        <v>25177.64</v>
      </c>
      <c r="K2">
        <v>25336.58</v>
      </c>
      <c r="L2">
        <v>25466.400000000001</v>
      </c>
      <c r="M2" s="27">
        <v>26287.81</v>
      </c>
      <c r="N2">
        <v>26649.24</v>
      </c>
      <c r="O2">
        <v>26963.93</v>
      </c>
      <c r="P2">
        <v>28169.47</v>
      </c>
      <c r="Q2">
        <v>29458.1</v>
      </c>
      <c r="R2" s="27">
        <v>30549.56</v>
      </c>
      <c r="S2">
        <v>31459.360000000001</v>
      </c>
      <c r="T2">
        <v>32553.93</v>
      </c>
      <c r="U2">
        <v>32797.519999999997</v>
      </c>
      <c r="V2">
        <v>32314.66</v>
      </c>
      <c r="W2" s="27">
        <v>34230.32</v>
      </c>
      <c r="X2">
        <v>35212.04</v>
      </c>
      <c r="Y2">
        <v>35598.6</v>
      </c>
      <c r="Z2">
        <v>36236.6</v>
      </c>
      <c r="AA2">
        <v>36332.129999999997</v>
      </c>
      <c r="AB2" s="27">
        <v>36172.6</v>
      </c>
      <c r="AC2" s="30">
        <v>36212.81</v>
      </c>
      <c r="AD2" s="30">
        <v>36752.67</v>
      </c>
      <c r="AE2" s="30">
        <v>37635.61</v>
      </c>
      <c r="AF2" s="30">
        <v>37613.050000000003</v>
      </c>
      <c r="AG2" s="30">
        <v>35450.68</v>
      </c>
      <c r="AH2" s="30">
        <v>37407.79</v>
      </c>
    </row>
    <row r="3" spans="1:37" x14ac:dyDescent="0.25">
      <c r="A3" t="s">
        <v>33</v>
      </c>
      <c r="B3" t="s">
        <v>13</v>
      </c>
      <c r="C3" s="27">
        <v>1003.53</v>
      </c>
      <c r="D3">
        <v>1008.33</v>
      </c>
      <c r="E3">
        <v>1023.75</v>
      </c>
      <c r="F3">
        <v>1040.48</v>
      </c>
      <c r="G3">
        <v>1149.02</v>
      </c>
      <c r="H3" s="27">
        <v>1222.18</v>
      </c>
      <c r="I3">
        <v>1273.8399999999999</v>
      </c>
      <c r="J3">
        <v>1323.34</v>
      </c>
      <c r="K3">
        <v>1327.81</v>
      </c>
      <c r="L3">
        <v>1336.92</v>
      </c>
      <c r="M3" s="27">
        <v>1396.22</v>
      </c>
      <c r="N3">
        <v>1422.09</v>
      </c>
      <c r="O3">
        <v>1474.4</v>
      </c>
      <c r="P3">
        <v>1568.35</v>
      </c>
      <c r="Q3">
        <v>1650.03</v>
      </c>
      <c r="R3" s="27">
        <v>1746.61</v>
      </c>
      <c r="S3">
        <v>1878.44</v>
      </c>
      <c r="T3">
        <v>2006.9</v>
      </c>
      <c r="U3">
        <v>2051.56</v>
      </c>
      <c r="V3">
        <v>2099.3000000000002</v>
      </c>
      <c r="W3" s="27">
        <v>2237.2600000000002</v>
      </c>
      <c r="X3">
        <v>2390.39</v>
      </c>
      <c r="Y3">
        <v>2474.16</v>
      </c>
      <c r="Z3">
        <v>2588.77</v>
      </c>
      <c r="AA3">
        <v>2702.9</v>
      </c>
      <c r="AB3" s="27">
        <v>2699.83</v>
      </c>
      <c r="AC3" s="30">
        <v>2797.55</v>
      </c>
      <c r="AD3" s="30">
        <v>2863.31</v>
      </c>
      <c r="AE3" s="30">
        <v>2955.2</v>
      </c>
      <c r="AF3" s="30">
        <v>3070.7</v>
      </c>
      <c r="AG3" s="30">
        <v>3132.69</v>
      </c>
      <c r="AH3" s="30">
        <v>3260.35</v>
      </c>
    </row>
    <row r="4" spans="1:37" x14ac:dyDescent="0.25">
      <c r="A4" t="s">
        <v>1</v>
      </c>
      <c r="B4" t="s">
        <v>13</v>
      </c>
      <c r="C4" s="27">
        <v>4975.5200000000004</v>
      </c>
      <c r="D4">
        <v>4945.1899999999996</v>
      </c>
      <c r="E4">
        <v>4938.22</v>
      </c>
      <c r="F4">
        <v>4908.68</v>
      </c>
      <c r="G4">
        <v>4952.29</v>
      </c>
      <c r="H4" s="27">
        <v>5005.76</v>
      </c>
      <c r="I4">
        <v>5036.3100000000004</v>
      </c>
      <c r="J4">
        <v>4967.28</v>
      </c>
      <c r="K4">
        <v>5021.93</v>
      </c>
      <c r="L4">
        <v>5078.41</v>
      </c>
      <c r="M4" s="27">
        <v>5074.21</v>
      </c>
      <c r="N4">
        <v>5080.29</v>
      </c>
      <c r="O4">
        <v>5140.9399999999996</v>
      </c>
      <c r="P4">
        <v>5136.9399999999996</v>
      </c>
      <c r="Q4">
        <v>5245.31</v>
      </c>
      <c r="R4" s="27">
        <v>5282.57</v>
      </c>
      <c r="S4">
        <v>5344.02</v>
      </c>
      <c r="T4">
        <v>5422.06</v>
      </c>
      <c r="U4">
        <v>5429.45</v>
      </c>
      <c r="V4">
        <v>5428.8</v>
      </c>
      <c r="W4" s="27">
        <v>5487.85</v>
      </c>
      <c r="X4">
        <v>5619.07</v>
      </c>
      <c r="Y4">
        <v>5640.61</v>
      </c>
      <c r="Z4">
        <v>5582.84</v>
      </c>
      <c r="AA4">
        <v>5634.97</v>
      </c>
      <c r="AB4" s="27">
        <v>5657.04</v>
      </c>
      <c r="AC4" s="30">
        <v>5693.07</v>
      </c>
      <c r="AD4" s="30">
        <v>5781.84</v>
      </c>
      <c r="AE4" s="30">
        <v>5762.4</v>
      </c>
      <c r="AF4" s="30">
        <v>5732.98</v>
      </c>
      <c r="AG4" s="30">
        <v>5830.08</v>
      </c>
      <c r="AH4" s="30">
        <v>5864</v>
      </c>
    </row>
    <row r="5" spans="1:37" x14ac:dyDescent="0.25">
      <c r="A5" t="s">
        <v>2</v>
      </c>
      <c r="B5" t="s">
        <v>13</v>
      </c>
      <c r="C5" s="27">
        <v>1364.4</v>
      </c>
      <c r="D5">
        <v>1395.18</v>
      </c>
      <c r="E5">
        <v>1418.28</v>
      </c>
      <c r="F5">
        <v>1444.39</v>
      </c>
      <c r="G5">
        <v>1470.96</v>
      </c>
      <c r="H5" s="27">
        <v>1476.51</v>
      </c>
      <c r="I5">
        <v>1478.31</v>
      </c>
      <c r="J5">
        <v>1474.36</v>
      </c>
      <c r="K5">
        <v>1466.28</v>
      </c>
      <c r="L5">
        <v>1464.47</v>
      </c>
      <c r="M5" s="27">
        <v>1466.76</v>
      </c>
      <c r="N5">
        <v>1452.91</v>
      </c>
      <c r="O5">
        <v>1447.97</v>
      </c>
      <c r="P5">
        <v>1443.66</v>
      </c>
      <c r="Q5">
        <v>1431.88</v>
      </c>
      <c r="R5" s="27">
        <v>1422.66</v>
      </c>
      <c r="S5">
        <v>1433.85</v>
      </c>
      <c r="T5">
        <v>1441.86</v>
      </c>
      <c r="U5">
        <v>1446.93</v>
      </c>
      <c r="V5">
        <v>1454.29</v>
      </c>
      <c r="W5" s="27">
        <v>1465.13</v>
      </c>
      <c r="X5">
        <v>1467.31</v>
      </c>
      <c r="Y5">
        <v>1476.63</v>
      </c>
      <c r="Z5">
        <v>1484.04</v>
      </c>
      <c r="AA5">
        <v>1514.26</v>
      </c>
      <c r="AB5" s="27">
        <v>1543.59</v>
      </c>
      <c r="AC5" s="30">
        <v>1560.85</v>
      </c>
      <c r="AD5" s="30">
        <v>1583.86</v>
      </c>
      <c r="AE5" s="30">
        <v>1606.86</v>
      </c>
      <c r="AF5" s="30">
        <v>1629.87</v>
      </c>
      <c r="AG5" s="30">
        <v>1652.87</v>
      </c>
      <c r="AH5" s="30">
        <v>1677.36</v>
      </c>
    </row>
    <row r="6" spans="1:37" x14ac:dyDescent="0.25">
      <c r="A6" t="s">
        <v>34</v>
      </c>
      <c r="B6" t="s">
        <v>13</v>
      </c>
      <c r="C6" s="27">
        <v>2026.71</v>
      </c>
      <c r="D6">
        <v>2026.71</v>
      </c>
      <c r="E6">
        <v>2026.72</v>
      </c>
      <c r="F6">
        <v>2027.15</v>
      </c>
      <c r="G6">
        <v>2026.82</v>
      </c>
      <c r="H6" s="27">
        <v>2032.42</v>
      </c>
      <c r="I6">
        <v>1827.03</v>
      </c>
      <c r="J6">
        <v>2796.53</v>
      </c>
      <c r="K6">
        <v>2126.31</v>
      </c>
      <c r="L6">
        <v>1935.22</v>
      </c>
      <c r="M6" s="27">
        <v>1786.59</v>
      </c>
      <c r="N6">
        <v>1486.7</v>
      </c>
      <c r="O6">
        <v>2002.64</v>
      </c>
      <c r="P6">
        <v>1699.88</v>
      </c>
      <c r="Q6">
        <v>2068.3000000000002</v>
      </c>
      <c r="R6" s="27">
        <v>1789.26</v>
      </c>
      <c r="S6">
        <v>2149.39</v>
      </c>
      <c r="T6">
        <v>1626.23</v>
      </c>
      <c r="U6">
        <v>1570.49</v>
      </c>
      <c r="V6">
        <v>1961.98</v>
      </c>
      <c r="W6" s="27">
        <v>1649.4</v>
      </c>
      <c r="X6">
        <v>558.86</v>
      </c>
      <c r="Y6">
        <v>591.16</v>
      </c>
      <c r="Z6">
        <v>538.69000000000005</v>
      </c>
      <c r="AA6">
        <v>885.86</v>
      </c>
      <c r="AB6" s="27">
        <v>920.42</v>
      </c>
      <c r="AC6" s="30">
        <v>1404.18</v>
      </c>
      <c r="AD6" s="30">
        <v>1359.61</v>
      </c>
      <c r="AE6" s="30">
        <v>1522.03</v>
      </c>
      <c r="AF6" s="30">
        <v>1796.97</v>
      </c>
      <c r="AG6" s="30">
        <v>1396.85</v>
      </c>
      <c r="AH6" s="30">
        <v>1343.98</v>
      </c>
    </row>
    <row r="7" spans="1:37" x14ac:dyDescent="0.25">
      <c r="A7" t="s">
        <v>35</v>
      </c>
      <c r="B7" t="s">
        <v>46</v>
      </c>
      <c r="AC7" s="30"/>
      <c r="AD7" s="30"/>
      <c r="AE7" s="30"/>
      <c r="AF7" s="30"/>
      <c r="AG7" s="30"/>
      <c r="AH7" s="30"/>
    </row>
    <row r="8" spans="1:37" x14ac:dyDescent="0.25">
      <c r="AC8" s="30"/>
      <c r="AD8" s="30"/>
      <c r="AE8" s="30"/>
      <c r="AF8" s="30"/>
      <c r="AG8" s="30"/>
      <c r="AH8" s="30"/>
    </row>
    <row r="9" spans="1:37" x14ac:dyDescent="0.25">
      <c r="A9" t="s">
        <v>30</v>
      </c>
      <c r="B9" t="s">
        <v>31</v>
      </c>
      <c r="C9" s="27">
        <v>1990</v>
      </c>
      <c r="D9">
        <v>1991</v>
      </c>
      <c r="E9">
        <v>1992</v>
      </c>
      <c r="F9">
        <v>1993</v>
      </c>
      <c r="G9">
        <v>1994</v>
      </c>
      <c r="H9" s="27">
        <v>1995</v>
      </c>
      <c r="I9">
        <v>1996</v>
      </c>
      <c r="J9">
        <v>1997</v>
      </c>
      <c r="K9">
        <v>1998</v>
      </c>
      <c r="L9">
        <v>1999</v>
      </c>
      <c r="M9" s="27">
        <v>2000</v>
      </c>
      <c r="N9">
        <v>2001</v>
      </c>
      <c r="O9">
        <v>2002</v>
      </c>
      <c r="P9">
        <v>2003</v>
      </c>
      <c r="Q9">
        <v>2004</v>
      </c>
      <c r="R9" s="27">
        <v>2005</v>
      </c>
      <c r="S9">
        <v>2006</v>
      </c>
      <c r="T9">
        <v>2007</v>
      </c>
      <c r="U9">
        <v>2008</v>
      </c>
      <c r="V9">
        <v>2009</v>
      </c>
      <c r="W9" s="27">
        <v>2010</v>
      </c>
      <c r="X9">
        <v>2011</v>
      </c>
      <c r="Y9">
        <v>2012</v>
      </c>
      <c r="Z9">
        <v>2013</v>
      </c>
      <c r="AA9">
        <v>2014</v>
      </c>
      <c r="AB9" s="27">
        <v>2015</v>
      </c>
      <c r="AC9" s="30">
        <v>2016</v>
      </c>
      <c r="AD9" s="30">
        <v>2017</v>
      </c>
      <c r="AE9" s="30">
        <v>2018</v>
      </c>
      <c r="AF9" s="30">
        <v>2019</v>
      </c>
      <c r="AG9" s="30">
        <v>2020</v>
      </c>
      <c r="AH9" s="30">
        <v>2021</v>
      </c>
    </row>
    <row r="10" spans="1:37" x14ac:dyDescent="0.25">
      <c r="A10" t="s">
        <v>32</v>
      </c>
      <c r="B10" t="s">
        <v>13</v>
      </c>
      <c r="C10" s="27">
        <v>637.9</v>
      </c>
      <c r="D10">
        <v>645.75</v>
      </c>
      <c r="E10">
        <v>683.47</v>
      </c>
      <c r="F10">
        <v>675.74</v>
      </c>
      <c r="G10">
        <v>702.06</v>
      </c>
      <c r="H10" s="27">
        <v>728.45</v>
      </c>
      <c r="I10">
        <v>749.1</v>
      </c>
      <c r="J10">
        <v>774.88</v>
      </c>
      <c r="K10">
        <v>799.45</v>
      </c>
      <c r="L10">
        <v>841.45</v>
      </c>
      <c r="M10" s="27">
        <v>866.69</v>
      </c>
      <c r="N10">
        <v>834.06</v>
      </c>
      <c r="O10">
        <v>872.97</v>
      </c>
      <c r="P10">
        <v>878.85</v>
      </c>
      <c r="Q10">
        <v>965.16</v>
      </c>
      <c r="R10" s="27">
        <v>1010.99</v>
      </c>
      <c r="S10">
        <v>1064.03</v>
      </c>
      <c r="T10">
        <v>1115.55</v>
      </c>
      <c r="U10">
        <v>1123.8499999999999</v>
      </c>
      <c r="V10">
        <v>1069.33</v>
      </c>
      <c r="W10" s="27">
        <v>1139.42</v>
      </c>
      <c r="X10">
        <v>1154.54</v>
      </c>
      <c r="Y10">
        <v>1112.57</v>
      </c>
      <c r="Z10">
        <v>1118.76</v>
      </c>
      <c r="AA10">
        <v>1155.02</v>
      </c>
      <c r="AB10" s="27">
        <v>1210.0999999999999</v>
      </c>
      <c r="AC10" s="30">
        <v>1252.04</v>
      </c>
      <c r="AD10" s="30">
        <v>1309.0899999999999</v>
      </c>
      <c r="AE10" s="30">
        <v>1338.16</v>
      </c>
      <c r="AF10" s="30">
        <v>1331.31</v>
      </c>
      <c r="AG10" s="30">
        <v>941.14</v>
      </c>
      <c r="AH10" s="30">
        <v>994.69</v>
      </c>
    </row>
    <row r="11" spans="1:37" x14ac:dyDescent="0.25">
      <c r="A11" t="s">
        <v>35</v>
      </c>
      <c r="B11" t="s">
        <v>46</v>
      </c>
    </row>
    <row r="16" spans="1:37" ht="20.399999999999999" x14ac:dyDescent="0.35">
      <c r="Z16" s="29" t="s">
        <v>53</v>
      </c>
      <c r="AA16" s="30"/>
      <c r="AB16" s="30"/>
      <c r="AC16" s="30"/>
      <c r="AD16" s="30"/>
      <c r="AE16" s="30"/>
      <c r="AF16" s="30"/>
      <c r="AG16" s="30"/>
      <c r="AH16" s="30"/>
      <c r="AI16" s="30"/>
      <c r="AJ16" s="30"/>
      <c r="AK16" s="3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50"/>
  <sheetViews>
    <sheetView topLeftCell="A30" workbookViewId="0">
      <selection activeCell="C1" sqref="C1"/>
    </sheetView>
  </sheetViews>
  <sheetFormatPr defaultRowHeight="13.2" x14ac:dyDescent="0.25"/>
  <cols>
    <col min="1" max="1" width="25.44140625" customWidth="1"/>
  </cols>
  <sheetData>
    <row r="1" spans="1:3" ht="18" x14ac:dyDescent="0.35">
      <c r="A1" s="12" t="s">
        <v>6</v>
      </c>
    </row>
    <row r="2" spans="1:3" ht="18" x14ac:dyDescent="0.35">
      <c r="A2" s="12"/>
    </row>
    <row r="3" spans="1:3" ht="14.4" x14ac:dyDescent="0.3">
      <c r="A3" s="13" t="s">
        <v>10</v>
      </c>
      <c r="B3" s="20"/>
      <c r="C3" s="14"/>
    </row>
    <row r="4" spans="1:3" ht="14.4" x14ac:dyDescent="0.3">
      <c r="A4" s="15"/>
      <c r="B4" s="15"/>
    </row>
    <row r="5" spans="1:3" s="15" customFormat="1" ht="14.4" x14ac:dyDescent="0.3">
      <c r="A5" s="19" t="s">
        <v>54</v>
      </c>
    </row>
    <row r="6" spans="1:3" ht="14.4" x14ac:dyDescent="0.3">
      <c r="A6" s="15"/>
      <c r="B6" s="15"/>
    </row>
    <row r="7" spans="1:3" ht="14.4" x14ac:dyDescent="0.3">
      <c r="A7" s="13" t="s">
        <v>9</v>
      </c>
      <c r="B7" s="20"/>
      <c r="C7" s="14"/>
    </row>
    <row r="8" spans="1:3" ht="14.4" x14ac:dyDescent="0.3">
      <c r="A8" s="15"/>
      <c r="B8" s="15"/>
    </row>
    <row r="9" spans="1:3" s="15" customFormat="1" ht="14.4" x14ac:dyDescent="0.3">
      <c r="A9" s="15" t="s">
        <v>24</v>
      </c>
    </row>
    <row r="10" spans="1:3" s="15" customFormat="1" ht="14.4" x14ac:dyDescent="0.3"/>
    <row r="11" spans="1:3" s="15" customFormat="1" ht="14.4" x14ac:dyDescent="0.3">
      <c r="A11" s="15" t="s">
        <v>36</v>
      </c>
      <c r="B11" s="19"/>
    </row>
    <row r="12" spans="1:3" s="15" customFormat="1" ht="14.4" x14ac:dyDescent="0.3">
      <c r="B12" s="22" t="s">
        <v>42</v>
      </c>
    </row>
    <row r="13" spans="1:3" s="15" customFormat="1" ht="14.4" x14ac:dyDescent="0.3">
      <c r="B13" s="22" t="s">
        <v>25</v>
      </c>
    </row>
    <row r="14" spans="1:3" s="15" customFormat="1" ht="14.4" x14ac:dyDescent="0.3">
      <c r="B14" s="22" t="s">
        <v>37</v>
      </c>
    </row>
    <row r="15" spans="1:3" s="15" customFormat="1" ht="14.4" x14ac:dyDescent="0.3">
      <c r="B15" s="22" t="s">
        <v>28</v>
      </c>
    </row>
    <row r="16" spans="1:3" s="15" customFormat="1" ht="14.4" x14ac:dyDescent="0.3">
      <c r="B16" s="22" t="s">
        <v>26</v>
      </c>
    </row>
    <row r="17" spans="1:2" s="15" customFormat="1" ht="14.4" x14ac:dyDescent="0.3">
      <c r="B17" s="22" t="s">
        <v>29</v>
      </c>
    </row>
    <row r="18" spans="1:2" s="15" customFormat="1" ht="14.4" x14ac:dyDescent="0.3">
      <c r="B18" s="23" t="s">
        <v>27</v>
      </c>
    </row>
    <row r="19" spans="1:2" s="15" customFormat="1" ht="14.4" x14ac:dyDescent="0.3">
      <c r="B19" s="23"/>
    </row>
    <row r="20" spans="1:2" s="15" customFormat="1" ht="14.4" x14ac:dyDescent="0.3">
      <c r="A20" s="15" t="s">
        <v>55</v>
      </c>
      <c r="B20" s="23"/>
    </row>
    <row r="21" spans="1:2" s="15" customFormat="1" ht="14.4" x14ac:dyDescent="0.3">
      <c r="B21" s="23"/>
    </row>
    <row r="22" spans="1:2" s="15" customFormat="1" ht="14.4" x14ac:dyDescent="0.3">
      <c r="A22" s="15" t="s">
        <v>38</v>
      </c>
      <c r="B22" s="23"/>
    </row>
    <row r="23" spans="1:2" s="15" customFormat="1" ht="14.4" x14ac:dyDescent="0.3">
      <c r="B23" s="22" t="s">
        <v>42</v>
      </c>
    </row>
    <row r="24" spans="1:2" s="15" customFormat="1" ht="14.4" x14ac:dyDescent="0.3">
      <c r="B24" s="22" t="s">
        <v>25</v>
      </c>
    </row>
    <row r="25" spans="1:2" s="15" customFormat="1" ht="14.4" x14ac:dyDescent="0.3">
      <c r="B25" s="22" t="s">
        <v>39</v>
      </c>
    </row>
    <row r="26" spans="1:2" s="15" customFormat="1" ht="14.4" x14ac:dyDescent="0.3">
      <c r="B26" s="22" t="s">
        <v>28</v>
      </c>
    </row>
    <row r="27" spans="1:2" s="15" customFormat="1" ht="14.4" x14ac:dyDescent="0.3">
      <c r="B27" s="22" t="s">
        <v>26</v>
      </c>
    </row>
    <row r="28" spans="1:2" s="15" customFormat="1" ht="14.4" x14ac:dyDescent="0.3">
      <c r="B28" s="22" t="s">
        <v>29</v>
      </c>
    </row>
    <row r="29" spans="1:2" s="15" customFormat="1" ht="14.4" x14ac:dyDescent="0.3">
      <c r="B29" s="23" t="s">
        <v>27</v>
      </c>
    </row>
    <row r="30" spans="1:2" s="15" customFormat="1" ht="14.4" x14ac:dyDescent="0.3">
      <c r="B30" s="23"/>
    </row>
    <row r="31" spans="1:2" s="15" customFormat="1" ht="14.4" x14ac:dyDescent="0.3">
      <c r="A31" s="15" t="s">
        <v>48</v>
      </c>
      <c r="B31" s="23"/>
    </row>
    <row r="32" spans="1:2" s="15" customFormat="1" ht="14.4" x14ac:dyDescent="0.3">
      <c r="A32" s="15" t="s">
        <v>56</v>
      </c>
      <c r="B32" s="23"/>
    </row>
    <row r="33" spans="1:22" s="15" customFormat="1" ht="14.4" x14ac:dyDescent="0.3">
      <c r="B33" s="23"/>
    </row>
    <row r="34" spans="1:22" ht="14.4" x14ac:dyDescent="0.3">
      <c r="A34" s="13" t="s">
        <v>16</v>
      </c>
      <c r="B34" s="20"/>
      <c r="C34" s="14"/>
    </row>
    <row r="35" spans="1:22" ht="14.4" x14ac:dyDescent="0.3">
      <c r="A35" s="16"/>
      <c r="B35" s="15"/>
    </row>
    <row r="36" spans="1:22" ht="14.4" x14ac:dyDescent="0.3">
      <c r="A36" s="15" t="s">
        <v>43</v>
      </c>
      <c r="B36" s="15"/>
    </row>
    <row r="37" spans="1:22" ht="14.4" x14ac:dyDescent="0.3">
      <c r="A37" s="15" t="s">
        <v>49</v>
      </c>
      <c r="B37" s="15"/>
    </row>
    <row r="38" spans="1:22" ht="72.75" customHeight="1" x14ac:dyDescent="0.3">
      <c r="A38" s="35" t="s">
        <v>44</v>
      </c>
      <c r="B38" s="35"/>
      <c r="C38" s="35"/>
      <c r="D38" s="35"/>
      <c r="E38" s="35"/>
      <c r="F38" s="35"/>
      <c r="G38" s="35"/>
      <c r="H38" s="35"/>
      <c r="I38" s="35"/>
      <c r="J38" s="35"/>
      <c r="K38" s="35"/>
      <c r="L38" s="35"/>
      <c r="N38" s="26"/>
      <c r="O38" s="3"/>
      <c r="P38" s="3"/>
      <c r="Q38" s="3"/>
      <c r="R38" s="3"/>
      <c r="S38" s="3"/>
      <c r="T38" s="3"/>
      <c r="U38" s="3"/>
      <c r="V38" s="3"/>
    </row>
    <row r="39" spans="1:22" ht="50.25" customHeight="1" x14ac:dyDescent="0.3">
      <c r="A39" s="36" t="s">
        <v>40</v>
      </c>
      <c r="B39" s="36"/>
      <c r="C39" s="36"/>
      <c r="D39" s="36"/>
      <c r="E39" s="36"/>
      <c r="F39" s="36"/>
      <c r="G39" s="36"/>
      <c r="H39" s="36"/>
      <c r="I39" s="36"/>
      <c r="J39" s="36"/>
      <c r="K39" s="36"/>
      <c r="L39" s="36"/>
    </row>
    <row r="40" spans="1:22" ht="14.4" x14ac:dyDescent="0.3">
      <c r="A40" s="24" t="s">
        <v>41</v>
      </c>
      <c r="B40" s="25"/>
      <c r="C40" s="25"/>
      <c r="D40" s="25"/>
      <c r="E40" s="25"/>
      <c r="F40" s="25"/>
      <c r="G40" s="25"/>
      <c r="H40" s="25"/>
      <c r="I40" s="25"/>
      <c r="J40" s="25"/>
      <c r="K40" s="25"/>
      <c r="L40" s="25"/>
    </row>
    <row r="41" spans="1:22" ht="14.4" x14ac:dyDescent="0.3">
      <c r="A41" s="15" t="s">
        <v>50</v>
      </c>
      <c r="B41" s="15"/>
    </row>
    <row r="42" spans="1:22" ht="14.4" x14ac:dyDescent="0.3">
      <c r="A42" s="15"/>
      <c r="B42" s="15"/>
    </row>
    <row r="43" spans="1:22" ht="14.4" x14ac:dyDescent="0.3">
      <c r="A43" s="13" t="s">
        <v>17</v>
      </c>
      <c r="B43" s="20"/>
      <c r="C43" s="14"/>
    </row>
    <row r="44" spans="1:22" ht="14.4" x14ac:dyDescent="0.3">
      <c r="A44" s="15"/>
      <c r="B44" s="15"/>
    </row>
    <row r="45" spans="1:22" ht="14.4" x14ac:dyDescent="0.3">
      <c r="A45" s="15" t="s">
        <v>21</v>
      </c>
      <c r="B45" s="15" t="s">
        <v>19</v>
      </c>
    </row>
    <row r="46" spans="1:22" ht="14.4" x14ac:dyDescent="0.3">
      <c r="A46" s="15" t="s">
        <v>20</v>
      </c>
      <c r="B46" s="15" t="s">
        <v>22</v>
      </c>
    </row>
    <row r="47" spans="1:22" ht="14.4" x14ac:dyDescent="0.3">
      <c r="A47" s="15" t="s">
        <v>6</v>
      </c>
      <c r="B47" s="15" t="s">
        <v>23</v>
      </c>
    </row>
    <row r="48" spans="1:22" ht="14.4" x14ac:dyDescent="0.3">
      <c r="A48" s="15" t="s">
        <v>45</v>
      </c>
      <c r="B48" s="15" t="s">
        <v>51</v>
      </c>
    </row>
    <row r="49" spans="1:2" ht="14.4" x14ac:dyDescent="0.3">
      <c r="A49" s="15"/>
      <c r="B49" s="15"/>
    </row>
    <row r="50" spans="1:2" ht="14.4" x14ac:dyDescent="0.3">
      <c r="A50" s="15"/>
      <c r="B50" s="15"/>
    </row>
  </sheetData>
  <mergeCells count="2">
    <mergeCell ref="A38:L38"/>
    <mergeCell ref="A39:L39"/>
  </mergeCells>
  <phoneticPr fontId="3"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C2FA4749D13C4D8B63736A9D95688A" ma:contentTypeVersion="17" ma:contentTypeDescription="Create a new document." ma:contentTypeScope="" ma:versionID="578c655ecc84879846c98f19573eba7e">
  <xsd:schema xmlns:xsd="http://www.w3.org/2001/XMLSchema" xmlns:xs="http://www.w3.org/2001/XMLSchema" xmlns:p="http://schemas.microsoft.com/office/2006/metadata/properties" xmlns:ns2="11d857ff-f4c9-431c-b3f0-894cf5d81aa2" xmlns:ns3="924ddb61-764c-4703-9da6-ddf852dc8a22" targetNamespace="http://schemas.microsoft.com/office/2006/metadata/properties" ma:root="true" ma:fieldsID="e4057c1f2022873f23a3a8e83f192bb7" ns2:_="" ns3:_="">
    <xsd:import namespace="11d857ff-f4c9-431c-b3f0-894cf5d81aa2"/>
    <xsd:import namespace="924ddb61-764c-4703-9da6-ddf852dc8a2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Notes0"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DateTaken"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d857ff-f4c9-431c-b3f0-894cf5d81aa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1" nillable="true" ma:displayName="Taxonomy Catch All Column" ma:hidden="true" ma:list="{015fc1ea-0df6-4181-8ca9-e6627910bc6f}" ma:internalName="TaxCatchAll" ma:showField="CatchAllData" ma:web="11d857ff-f4c9-431c-b3f0-894cf5d81a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24ddb61-764c-4703-9da6-ddf852dc8a2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Notes0" ma:index="12" nillable="true" ma:displayName="Notes" ma:internalName="Notes0">
      <xsd:simpleType>
        <xsd:restriction base="dms:Note">
          <xsd:maxLength value="255"/>
        </xsd:restrictio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896de28-cb53-43b9-a38b-bef149b24309" ma:termSetId="09814cd3-568e-fe90-9814-8d621ff8fb84" ma:anchorId="fba54fb3-c3e1-fe81-a776-ca4b69148c4d" ma:open="true" ma:isKeyword="false">
      <xsd:complexType>
        <xsd:sequence>
          <xsd:element ref="pc:Terms" minOccurs="0" maxOccurs="1"/>
        </xsd:sequence>
      </xsd:complex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24ddb61-764c-4703-9da6-ddf852dc8a22">
      <Terms xmlns="http://schemas.microsoft.com/office/infopath/2007/PartnerControls"/>
    </lcf76f155ced4ddcb4097134ff3c332f>
    <Notes0 xmlns="924ddb61-764c-4703-9da6-ddf852dc8a22" xsi:nil="true"/>
    <TaxCatchAll xmlns="11d857ff-f4c9-431c-b3f0-894cf5d81aa2" xsi:nil="true"/>
  </documentManagement>
</p:properties>
</file>

<file path=customXml/itemProps1.xml><?xml version="1.0" encoding="utf-8"?>
<ds:datastoreItem xmlns:ds="http://schemas.openxmlformats.org/officeDocument/2006/customXml" ds:itemID="{8E181523-AE8E-4A63-9958-05555264C523}"/>
</file>

<file path=customXml/itemProps2.xml><?xml version="1.0" encoding="utf-8"?>
<ds:datastoreItem xmlns:ds="http://schemas.openxmlformats.org/officeDocument/2006/customXml" ds:itemID="{95485F3B-5936-491A-9935-1B909D28ABDB}"/>
</file>

<file path=customXml/itemProps3.xml><?xml version="1.0" encoding="utf-8"?>
<ds:datastoreItem xmlns:ds="http://schemas.openxmlformats.org/officeDocument/2006/customXml" ds:itemID="{FE21905E-E4A9-4731-A18A-5CDC5D02743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1</vt:i4>
      </vt:variant>
    </vt:vector>
  </HeadingPairs>
  <TitlesOfParts>
    <vt:vector size="4" baseType="lpstr">
      <vt:lpstr>Data for Figure</vt:lpstr>
      <vt:lpstr>Original Data-Climate Watch</vt:lpstr>
      <vt:lpstr>Methods and Notes</vt:lpstr>
      <vt:lpstr>Figure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SdeJesus</dc:creator>
  <cp:lastModifiedBy>Chris Lamie</cp:lastModifiedBy>
  <cp:lastPrinted>2009-03-12T23:53:11Z</cp:lastPrinted>
  <dcterms:created xsi:type="dcterms:W3CDTF">2009-01-27T01:16:07Z</dcterms:created>
  <dcterms:modified xsi:type="dcterms:W3CDTF">2024-12-03T04:47:59Z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0x01010055C2FA4749D13C4D8B63736A9D95688A</vt:lpwstr>
  </property>
</Properties>
</file>